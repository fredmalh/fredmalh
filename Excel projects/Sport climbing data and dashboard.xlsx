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mc:AlternateContent xmlns:mc="http://schemas.openxmlformats.org/markup-compatibility/2006">
    <mc:Choice Requires="x15">
      <x15ac:absPath xmlns:x15ac="http://schemas.microsoft.com/office/spreadsheetml/2010/11/ac" url="C:\Users\frede\Dropbox\DATA SCIENCE\PORTFOLIO 2023\"/>
    </mc:Choice>
  </mc:AlternateContent>
  <xr:revisionPtr revIDLastSave="0" documentId="13_ncr:1_{5F2AEC20-EE7D-4D80-B15B-AAB921D1E604}" xr6:coauthVersionLast="47" xr6:coauthVersionMax="47" xr10:uidLastSave="{00000000-0000-0000-0000-000000000000}"/>
  <bookViews>
    <workbookView xWindow="20370" yWindow="-2775" windowWidth="29040" windowHeight="15840" tabRatio="714" activeTab="1" xr2:uid="{00000000-000D-0000-FFFF-FFFF00000000}"/>
  </bookViews>
  <sheets>
    <sheet name="DATA" sheetId="5" r:id="rId1"/>
    <sheet name="DASHBOARD" sheetId="13" r:id="rId2"/>
    <sheet name="PIVOTS" sheetId="16" r:id="rId3"/>
    <sheet name="DATES" sheetId="18" r:id="rId4"/>
  </sheets>
  <definedNames>
    <definedName name="_xlcn.WorksheetConnection_Sportclimbingdataanddashboard.xlsxMONTHS1" hidden="1">MONTHS[]</definedName>
    <definedName name="_xlcn.WorksheetConnection_Sportclimbingdataanddashboard.xlsxSportClimbing1" hidden="1">SportClimbing[]</definedName>
    <definedName name="_xlcn.WorksheetConnection_Sportclimbingdataanddashboard.xlsxYears1" hidden="1">Years[]</definedName>
    <definedName name="Slicer_Belayer1">#N/A</definedName>
    <definedName name="Slicer_Crag">#N/A</definedName>
    <definedName name="Slicer_Grade">#N/A</definedName>
    <definedName name="Slicer_Height__m">#N/A</definedName>
    <definedName name="Slicer_Total_number_of_tries">#N/A</definedName>
    <definedName name="Slicer_YEARS">#N/A</definedName>
  </definedNames>
  <calcPr calcId="191029"/>
  <pivotCaches>
    <pivotCache cacheId="0" r:id="rId5"/>
    <pivotCache cacheId="84" r:id="rId6"/>
    <pivotCache cacheId="87" r:id="rId7"/>
    <pivotCache cacheId="90" r:id="rId8"/>
    <pivotCache cacheId="93" r:id="rId9"/>
    <pivotCache cacheId="96" r:id="rId10"/>
    <pivotCache cacheId="99" r:id="rId11"/>
    <pivotCache cacheId="102" r:id="rId12"/>
    <pivotCache cacheId="105" r:id="rId13"/>
  </pivotCaches>
  <extLst>
    <ext xmlns:x14="http://schemas.microsoft.com/office/spreadsheetml/2009/9/main" uri="{876F7934-8845-4945-9796-88D515C7AA90}">
      <x14:pivotCaches>
        <pivotCache cacheId="9" r:id="rId14"/>
      </x14:pivotCaches>
    </ext>
    <ext xmlns:x14="http://schemas.microsoft.com/office/spreadsheetml/2009/9/main" uri="{BBE1A952-AA13-448e-AADC-164F8A28A991}">
      <x14:slicerCaches>
        <x14:slicerCache r:id="rId15"/>
        <x14:slicerCache r:id="rId16"/>
        <x14:slicerCache r:id="rId17"/>
        <x14:slicerCache r:id="rId18"/>
        <x14:slicerCache r:id="rId19"/>
        <x14:slicerCache r:id="rId20"/>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Years" name="Years" connection="WorksheetConnection_Sport climbing data and dashboard.xlsx!Years"/>
          <x15:modelTable id="SportClimbing" name="SportClimbing" connection="WorksheetConnection_Sport climbing data and dashboard.xlsx!SportClimbing"/>
          <x15:modelTable id="MONTHS" name="MONTHS" connection="WorksheetConnection_Sport climbing data and dashboard.xlsx!MONTHS"/>
        </x15:modelTables>
        <x15:modelRelationships>
          <x15:modelRelationship fromTable="SportClimbing" fromColumn="Year" toTable="Years" toColumn="YEARS"/>
          <x15:modelRelationship fromTable="SportClimbing" fromColumn="Month" toTable="MONTHS" toColumn="MONTHS 2"/>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 i="5" l="1"/>
  <c r="J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E5578A-B070-48FF-A43D-C6926022026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9E78F1B0-EA9B-4403-AD98-705DDB5C41E6}" name="WorksheetConnection_Sport climbing data and dashboard.xlsx!MONTHS" type="102" refreshedVersion="8" minRefreshableVersion="5">
    <extLst>
      <ext xmlns:x15="http://schemas.microsoft.com/office/spreadsheetml/2010/11/main" uri="{DE250136-89BD-433C-8126-D09CA5730AF9}">
        <x15:connection id="MONTHS">
          <x15:rangePr sourceName="_xlcn.WorksheetConnection_Sportclimbingdataanddashboard.xlsxMONTHS1"/>
        </x15:connection>
      </ext>
    </extLst>
  </connection>
  <connection id="3" xr16:uid="{3CFF11E8-D37B-46D2-8133-BC48A5D533F3}" name="WorksheetConnection_Sport climbing data and dashboard.xlsx!SportClimbing" type="102" refreshedVersion="8" minRefreshableVersion="5">
    <extLst>
      <ext xmlns:x15="http://schemas.microsoft.com/office/spreadsheetml/2010/11/main" uri="{DE250136-89BD-433C-8126-D09CA5730AF9}">
        <x15:connection id="SportClimbing" autoDelete="1">
          <x15:rangePr sourceName="_xlcn.WorksheetConnection_Sportclimbingdataanddashboard.xlsxSportClimbing1"/>
        </x15:connection>
      </ext>
    </extLst>
  </connection>
  <connection id="4" xr16:uid="{FC48776C-B6A7-42DB-8CBF-3A8A15BCC05B}" name="WorksheetConnection_Sport climbing data and dashboard.xlsx!Years" type="102" refreshedVersion="8" minRefreshableVersion="5">
    <extLst>
      <ext xmlns:x15="http://schemas.microsoft.com/office/spreadsheetml/2010/11/main" uri="{DE250136-89BD-433C-8126-D09CA5730AF9}">
        <x15:connection id="Years">
          <x15:rangePr sourceName="_xlcn.WorksheetConnection_Sportclimbingdataanddashboard.xlsxYears1"/>
        </x15:connection>
      </ext>
    </extLst>
  </connection>
</connections>
</file>

<file path=xl/sharedStrings.xml><?xml version="1.0" encoding="utf-8"?>
<sst xmlns="http://schemas.openxmlformats.org/spreadsheetml/2006/main" count="1297" uniqueCount="394">
  <si>
    <t>Gauche</t>
  </si>
  <si>
    <t>Roc d'Anglars</t>
  </si>
  <si>
    <t>Mégaboule</t>
  </si>
  <si>
    <t>7a</t>
  </si>
  <si>
    <t>Révélations</t>
  </si>
  <si>
    <t>Clin d'oeil à la Lune</t>
  </si>
  <si>
    <t>Thomas Bur</t>
  </si>
  <si>
    <t>Sex Machine</t>
  </si>
  <si>
    <t>Gorges de la Cesse</t>
  </si>
  <si>
    <t>Cassiopée</t>
  </si>
  <si>
    <t>Guhlm</t>
  </si>
  <si>
    <t>flash</t>
  </si>
  <si>
    <t>Carol</t>
  </si>
  <si>
    <t>Teddy</t>
  </si>
  <si>
    <t>Lola</t>
  </si>
  <si>
    <t>Rodellar</t>
  </si>
  <si>
    <t>Pared de la Virgen</t>
  </si>
  <si>
    <t>Shyamal</t>
  </si>
  <si>
    <t>Roc de la Lluna</t>
  </si>
  <si>
    <t>Sud</t>
  </si>
  <si>
    <t>De socials un 10</t>
  </si>
  <si>
    <t>7a+</t>
  </si>
  <si>
    <t>Gelida</t>
  </si>
  <si>
    <t>Centre</t>
  </si>
  <si>
    <t>David Valls</t>
  </si>
  <si>
    <t>Garraf</t>
  </si>
  <si>
    <t>Mala Dona</t>
  </si>
  <si>
    <t>Pasaba por aquí</t>
  </si>
  <si>
    <t>KA NO</t>
  </si>
  <si>
    <t>7b</t>
  </si>
  <si>
    <t>Amor suprem</t>
  </si>
  <si>
    <t>Neska polita</t>
  </si>
  <si>
    <t>7b+</t>
  </si>
  <si>
    <t>nº28</t>
  </si>
  <si>
    <t>Andres Villarroel</t>
  </si>
  <si>
    <t>nº26</t>
  </si>
  <si>
    <t>Xapes Negres</t>
  </si>
  <si>
    <t>Marc Ros</t>
  </si>
  <si>
    <t>Dave</t>
  </si>
  <si>
    <t>Dos peluts i un destí</t>
  </si>
  <si>
    <t>Merda de la serra</t>
  </si>
  <si>
    <t>Simply Extrem</t>
  </si>
  <si>
    <t>Las Garretes del Garraf</t>
  </si>
  <si>
    <t>Siurana</t>
  </si>
  <si>
    <t>L'aparador</t>
  </si>
  <si>
    <t>Brigadistak</t>
  </si>
  <si>
    <t>Lo dejé to blanco</t>
  </si>
  <si>
    <t>Calma Tensa</t>
  </si>
  <si>
    <t>Imperatriz Esmeralda</t>
  </si>
  <si>
    <t>Font Soleia</t>
  </si>
  <si>
    <t>Paret Gran</t>
  </si>
  <si>
    <t>Súbete a mi piel</t>
  </si>
  <si>
    <t>Daniel Perez</t>
  </si>
  <si>
    <t>Henry</t>
  </si>
  <si>
    <t>Garroma</t>
  </si>
  <si>
    <t>El Callejón</t>
  </si>
  <si>
    <t>Good feeling</t>
  </si>
  <si>
    <t>Cova de l'Arcada</t>
  </si>
  <si>
    <t>Juan y Fran se nos van</t>
  </si>
  <si>
    <t>Las ventanas</t>
  </si>
  <si>
    <t>Viagraman</t>
  </si>
  <si>
    <t>El Pati</t>
  </si>
  <si>
    <t>Sugopy</t>
  </si>
  <si>
    <t>Esperó Primavera</t>
  </si>
  <si>
    <t>Se m'apaga la baldufa</t>
  </si>
  <si>
    <t>Performance</t>
  </si>
  <si>
    <t>El Gruyere</t>
  </si>
  <si>
    <t>Requiem</t>
  </si>
  <si>
    <t>Margalef</t>
  </si>
  <si>
    <t>7c</t>
  </si>
  <si>
    <t>Montserrat norte</t>
  </si>
  <si>
    <t>Montserrat sur</t>
  </si>
  <si>
    <t>Collegats</t>
  </si>
  <si>
    <t>Fleck</t>
  </si>
  <si>
    <t>La Pedrera</t>
  </si>
  <si>
    <t>Crit de Panic</t>
  </si>
  <si>
    <t>Sadernes</t>
  </si>
  <si>
    <t>Mallorca</t>
  </si>
  <si>
    <t>Cala Sa Nau</t>
  </si>
  <si>
    <t>Cala Mitjana</t>
  </si>
  <si>
    <t>Balsa Boys</t>
  </si>
  <si>
    <t>Rich Bitch</t>
  </si>
  <si>
    <t>Attack of the Spindly Killer Fish</t>
  </si>
  <si>
    <t>water solo</t>
  </si>
  <si>
    <t>Brego</t>
  </si>
  <si>
    <t>Cetaci</t>
  </si>
  <si>
    <t>Cova dels Bombers</t>
  </si>
  <si>
    <t>Hervé</t>
  </si>
  <si>
    <t>Josuai Lama</t>
  </si>
  <si>
    <t>Tieme</t>
  </si>
  <si>
    <t>Beso de Cobra</t>
  </si>
  <si>
    <t>Siuranella Este</t>
  </si>
  <si>
    <t>Cova del Bisbe</t>
  </si>
  <si>
    <t>L'Herbolari</t>
  </si>
  <si>
    <t>El Cargol</t>
  </si>
  <si>
    <t>Jeketepeke</t>
  </si>
  <si>
    <t>Cojón prieto</t>
  </si>
  <si>
    <t>La panxa del bou</t>
  </si>
  <si>
    <t>Rauxa</t>
  </si>
  <si>
    <t>Huir para vivir</t>
  </si>
  <si>
    <t>Grau dels matxos</t>
  </si>
  <si>
    <t>Cingles</t>
  </si>
  <si>
    <t>Piano Piano</t>
  </si>
  <si>
    <t>No ho sé</t>
  </si>
  <si>
    <t>Angel</t>
  </si>
  <si>
    <t>Arbolí</t>
  </si>
  <si>
    <t>Can Gans Dionis</t>
  </si>
  <si>
    <t>Prendre la tête</t>
  </si>
  <si>
    <t>No m'enganyis mes</t>
  </si>
  <si>
    <t>Little Ted</t>
  </si>
  <si>
    <t>El Dard</t>
  </si>
  <si>
    <t>Pelu</t>
  </si>
  <si>
    <t>Mystiflower</t>
  </si>
  <si>
    <t>Mr Krek</t>
  </si>
  <si>
    <t>El Falcó</t>
  </si>
  <si>
    <t>El Salt de la Reina Mora</t>
  </si>
  <si>
    <t>Anys Bionics</t>
  </si>
  <si>
    <t>Can Simiro</t>
  </si>
  <si>
    <t>Manara Clic</t>
  </si>
  <si>
    <t>Fotut Futur</t>
  </si>
  <si>
    <t>Lena</t>
  </si>
  <si>
    <t>Megatrix</t>
  </si>
  <si>
    <t>Karla Mexicana</t>
  </si>
  <si>
    <t>Can Paulet</t>
  </si>
  <si>
    <t>Esquerra</t>
  </si>
  <si>
    <t>Qui s'ha mort</t>
  </si>
  <si>
    <t>Chulilla</t>
  </si>
  <si>
    <t>Sex shop</t>
  </si>
  <si>
    <t>Chorreras</t>
  </si>
  <si>
    <t>Oasis</t>
  </si>
  <si>
    <t>onsight</t>
  </si>
  <si>
    <t>Yoel</t>
  </si>
  <si>
    <t>Guy</t>
  </si>
  <si>
    <t>Gustavo</t>
  </si>
  <si>
    <t>Dale duro negro</t>
  </si>
  <si>
    <t>Los caminantes</t>
  </si>
  <si>
    <t>Day</t>
  </si>
  <si>
    <t>Month</t>
  </si>
  <si>
    <t>Year</t>
  </si>
  <si>
    <t>Route name</t>
  </si>
  <si>
    <t>Grade</t>
  </si>
  <si>
    <t>Crag</t>
  </si>
  <si>
    <t>Sector</t>
  </si>
  <si>
    <t>Height (m)</t>
  </si>
  <si>
    <t>Belayer</t>
  </si>
  <si>
    <t>Total number of tries</t>
  </si>
  <si>
    <t>Patrick</t>
  </si>
  <si>
    <t>Byron</t>
  </si>
  <si>
    <t>Juan</t>
  </si>
  <si>
    <t>Will</t>
  </si>
  <si>
    <t>Martyn</t>
  </si>
  <si>
    <t>Jan</t>
  </si>
  <si>
    <t>Feb</t>
  </si>
  <si>
    <t>March</t>
  </si>
  <si>
    <t>April</t>
  </si>
  <si>
    <t>May</t>
  </si>
  <si>
    <t>June</t>
  </si>
  <si>
    <t>July</t>
  </si>
  <si>
    <t>Aug</t>
  </si>
  <si>
    <t>Sep</t>
  </si>
  <si>
    <t>Nov</t>
  </si>
  <si>
    <t>Dec</t>
  </si>
  <si>
    <t>Oct</t>
  </si>
  <si>
    <t>7c+</t>
  </si>
  <si>
    <t>Kathy</t>
  </si>
  <si>
    <t>Curriculo vaginal</t>
  </si>
  <si>
    <t>Masters</t>
  </si>
  <si>
    <t>Zikrutiña mientras puedas</t>
  </si>
  <si>
    <t>Fantasía</t>
  </si>
  <si>
    <t>Ulises</t>
  </si>
  <si>
    <t>Ay Mamita</t>
  </si>
  <si>
    <t>Kat</t>
  </si>
  <si>
    <t>Bindelef</t>
  </si>
  <si>
    <t>La Mainadera</t>
  </si>
  <si>
    <t>Baby sitter</t>
  </si>
  <si>
    <t>Cabernet</t>
  </si>
  <si>
    <t>La forum de les postures</t>
  </si>
  <si>
    <t>Mar de fons</t>
  </si>
  <si>
    <t>La mía</t>
  </si>
  <si>
    <t>El Charlatán</t>
  </si>
  <si>
    <t>Culample 4</t>
  </si>
  <si>
    <t>Calendra</t>
  </si>
  <si>
    <t>Ladilla</t>
  </si>
  <si>
    <t>Castell s'Espasa dret</t>
  </si>
  <si>
    <t>El prohibitivo</t>
  </si>
  <si>
    <t>Esgraons al cel</t>
  </si>
  <si>
    <t>Montserrat Sur</t>
  </si>
  <si>
    <t>La Piula</t>
  </si>
  <si>
    <t>Menganos</t>
  </si>
  <si>
    <t>Count of Belayer</t>
  </si>
  <si>
    <t>Bisexual</t>
  </si>
  <si>
    <t>Corral nou</t>
  </si>
  <si>
    <t>Bocadillo de calamares en el km 0</t>
  </si>
  <si>
    <t>Salmoneti a contra corrent</t>
  </si>
  <si>
    <t>Herbolari</t>
  </si>
  <si>
    <t>L'Olla</t>
  </si>
  <si>
    <t>Cargol treu banya</t>
  </si>
  <si>
    <t>Fisuterapia</t>
  </si>
  <si>
    <t>Lo més negre</t>
  </si>
  <si>
    <t>Salmo veintitrés</t>
  </si>
  <si>
    <t>Café del mar</t>
  </si>
  <si>
    <t>El Casot</t>
  </si>
  <si>
    <t>Can Codolar</t>
  </si>
  <si>
    <t>Cova de l'os</t>
  </si>
  <si>
    <t>Antonin</t>
  </si>
  <si>
    <t>Jihad</t>
  </si>
  <si>
    <t>La Siberiana</t>
  </si>
  <si>
    <t>Siuranella Centre</t>
  </si>
  <si>
    <t>Tikis Mikis</t>
  </si>
  <si>
    <t>Inti</t>
  </si>
  <si>
    <t>El ultimo poeta</t>
  </si>
  <si>
    <t>Cop de roc</t>
  </si>
  <si>
    <t>Laila</t>
  </si>
  <si>
    <t>Avui si que no m'enganyes</t>
  </si>
  <si>
    <t>page 4</t>
  </si>
  <si>
    <t>page 5</t>
  </si>
  <si>
    <t>No name num 93</t>
  </si>
  <si>
    <t>El Trapella num 90</t>
  </si>
  <si>
    <t>El Drac</t>
  </si>
  <si>
    <t>Gabo</t>
  </si>
  <si>
    <t>Pota de bou</t>
  </si>
  <si>
    <t>page 6</t>
  </si>
  <si>
    <t>ACDC</t>
  </si>
  <si>
    <t>Ca l'Onassis</t>
  </si>
  <si>
    <t>Ni me n'entero</t>
  </si>
  <si>
    <t>Ca la Isabel</t>
  </si>
  <si>
    <t>Bamboleiro</t>
  </si>
  <si>
    <t>Grau dels Masets Baix</t>
  </si>
  <si>
    <t>No hi ha pa per tant xoriço</t>
  </si>
  <si>
    <t>Can Melafots</t>
  </si>
  <si>
    <t>Ca l'Orro</t>
  </si>
  <si>
    <t>Lydia</t>
  </si>
  <si>
    <t>Bernardo</t>
  </si>
  <si>
    <t>Grand Total</t>
  </si>
  <si>
    <t>Row Labels</t>
  </si>
  <si>
    <t>Remulo y romo</t>
  </si>
  <si>
    <t>La Morena de Montsant</t>
  </si>
  <si>
    <t>Pako pintxo</t>
  </si>
  <si>
    <t>Clone Club</t>
  </si>
  <si>
    <t>Grau dels Masets Esquerra</t>
  </si>
  <si>
    <t>La Transformació</t>
  </si>
  <si>
    <t>Alpha</t>
  </si>
  <si>
    <t>Mainada de plafó</t>
  </si>
  <si>
    <t>page 2</t>
  </si>
  <si>
    <t>page 3</t>
  </si>
  <si>
    <t>?</t>
  </si>
  <si>
    <t>No pasarán</t>
  </si>
  <si>
    <t>Semen up</t>
  </si>
  <si>
    <t>Daniel Taupin</t>
  </si>
  <si>
    <t>Tsunami</t>
  </si>
  <si>
    <t>El Nas</t>
  </si>
  <si>
    <t>El Sunyer</t>
  </si>
  <si>
    <t>Bous i Esquellets</t>
  </si>
  <si>
    <t>Sean</t>
  </si>
  <si>
    <t>Las orelles del llop</t>
  </si>
  <si>
    <t>Emboirats</t>
  </si>
  <si>
    <t>Tiramilles</t>
  </si>
  <si>
    <t>Cala Varques - Metrosexual</t>
  </si>
  <si>
    <t>Sac de Gemecs</t>
  </si>
  <si>
    <t>Desvariant</t>
  </si>
  <si>
    <t>Ventolera Cosmica</t>
  </si>
  <si>
    <t>Country</t>
  </si>
  <si>
    <t>France</t>
  </si>
  <si>
    <t>Spain</t>
  </si>
  <si>
    <t>Donald</t>
  </si>
  <si>
    <t>Muro de lamentaciones</t>
  </si>
  <si>
    <t>Penyes Aragonesas (Castellón)</t>
  </si>
  <si>
    <t>LSD</t>
  </si>
  <si>
    <t>Dumbo love</t>
  </si>
  <si>
    <t>Blue agave</t>
  </si>
  <si>
    <t>El Magnate del tomate</t>
  </si>
  <si>
    <t>Tierra de Nadie</t>
  </si>
  <si>
    <t>La ciudad perdida de Muchapicha</t>
  </si>
  <si>
    <t>SPUF</t>
  </si>
  <si>
    <t>Portugal</t>
  </si>
  <si>
    <t>Fenda de Arrabida</t>
  </si>
  <si>
    <t>Carallon</t>
  </si>
  <si>
    <t>Vittorio</t>
  </si>
  <si>
    <t>Revelhao</t>
  </si>
  <si>
    <t>Atlantida</t>
  </si>
  <si>
    <t>Gaivotas</t>
  </si>
  <si>
    <t>Alexandre Marques</t>
  </si>
  <si>
    <t>Cavallers</t>
  </si>
  <si>
    <t>Kaos</t>
  </si>
  <si>
    <t>L'Obaga del Falcó</t>
  </si>
  <si>
    <t>L'Obaga</t>
  </si>
  <si>
    <t>Arseniac</t>
  </si>
  <si>
    <t>Le Fayet</t>
  </si>
  <si>
    <t>Thermes</t>
  </si>
  <si>
    <t>Kati Golovina</t>
  </si>
  <si>
    <t>Le Coupeau</t>
  </si>
  <si>
    <t>Chris Knight</t>
  </si>
  <si>
    <t>La Haine</t>
  </si>
  <si>
    <t>Left</t>
  </si>
  <si>
    <t>Right</t>
  </si>
  <si>
    <t>Doigts de fée pour un cœur de lion</t>
  </si>
  <si>
    <t>L'âge de cristal</t>
  </si>
  <si>
    <t>Combat des chefs</t>
  </si>
  <si>
    <t>Plan Plan</t>
  </si>
  <si>
    <t>Austria</t>
  </si>
  <si>
    <t>Maracuja</t>
  </si>
  <si>
    <t>Zillertal - Ewige Jagdgründe</t>
  </si>
  <si>
    <t>Wam</t>
  </si>
  <si>
    <t>Wig</t>
  </si>
  <si>
    <t xml:space="preserve">Schuh des Manitou </t>
  </si>
  <si>
    <t>Juman</t>
  </si>
  <si>
    <t>It's Easy</t>
  </si>
  <si>
    <t>Martinswand</t>
  </si>
  <si>
    <t>Dschungelbuch Hauptteil</t>
  </si>
  <si>
    <t>Kotitscha</t>
  </si>
  <si>
    <t>Blitzaktion</t>
  </si>
  <si>
    <t>Engelswand</t>
  </si>
  <si>
    <t>Ötztal</t>
  </si>
  <si>
    <t>Blockparty</t>
  </si>
  <si>
    <t>Italy</t>
  </si>
  <si>
    <t>Jugant amb foc</t>
  </si>
  <si>
    <t>Can Toni Gros</t>
  </si>
  <si>
    <t>L'esquitx</t>
  </si>
  <si>
    <t>Kun</t>
  </si>
  <si>
    <t>Mort de gana</t>
  </si>
  <si>
    <t>Enganyapardals</t>
  </si>
  <si>
    <t>Négociée</t>
  </si>
  <si>
    <t>Fumanchu</t>
  </si>
  <si>
    <t>Permagel</t>
  </si>
  <si>
    <t>Marxuquera</t>
  </si>
  <si>
    <t>Natasha</t>
  </si>
  <si>
    <t>Klaus Charfreitag</t>
  </si>
  <si>
    <t>Mikel</t>
  </si>
  <si>
    <t>Y un cacau más</t>
  </si>
  <si>
    <t>Cherales Grande</t>
  </si>
  <si>
    <t>Hijos de Caín</t>
  </si>
  <si>
    <t>Potente</t>
  </si>
  <si>
    <t xml:space="preserve">Wunderbare Welt der Schwerkraft </t>
  </si>
  <si>
    <t>Tibor</t>
  </si>
  <si>
    <t>Wunderbare Welt</t>
  </si>
  <si>
    <t>Berglsteinersee</t>
  </si>
  <si>
    <t>Secret Garden</t>
  </si>
  <si>
    <t>10-14</t>
  </si>
  <si>
    <t>15-19</t>
  </si>
  <si>
    <t>20-24</t>
  </si>
  <si>
    <t>25-29</t>
  </si>
  <si>
    <t>30-34</t>
  </si>
  <si>
    <t>Bold Man</t>
  </si>
  <si>
    <t>Knappenwand</t>
  </si>
  <si>
    <t>Asier</t>
  </si>
  <si>
    <t>Was nicht passt wird passend gemacht</t>
  </si>
  <si>
    <t>Verschneidung links</t>
  </si>
  <si>
    <t>Gebi Crack</t>
  </si>
  <si>
    <t>Astholz</t>
  </si>
  <si>
    <t>Hundepension</t>
  </si>
  <si>
    <t>Dödl up</t>
  </si>
  <si>
    <t>Unterinn</t>
  </si>
  <si>
    <t>Sends per year</t>
  </si>
  <si>
    <t>Sends per month</t>
  </si>
  <si>
    <t>10</t>
  </si>
  <si>
    <t>14</t>
  </si>
  <si>
    <t>2</t>
  </si>
  <si>
    <t>3</t>
  </si>
  <si>
    <t>4</t>
  </si>
  <si>
    <t>5</t>
  </si>
  <si>
    <t>50</t>
  </si>
  <si>
    <t>6</t>
  </si>
  <si>
    <t>7</t>
  </si>
  <si>
    <t>8</t>
  </si>
  <si>
    <t>YEARS</t>
  </si>
  <si>
    <t>August</t>
  </si>
  <si>
    <t>November</t>
  </si>
  <si>
    <t>December</t>
  </si>
  <si>
    <t>January</t>
  </si>
  <si>
    <t>February</t>
  </si>
  <si>
    <t>September</t>
  </si>
  <si>
    <t>October</t>
  </si>
  <si>
    <t>MONTHS 1</t>
  </si>
  <si>
    <t>MONTHS 2</t>
  </si>
  <si>
    <t>Jul</t>
  </si>
  <si>
    <t>Jun</t>
  </si>
  <si>
    <t>Mar</t>
  </si>
  <si>
    <t>Apr</t>
  </si>
  <si>
    <t>MONTHS 3</t>
  </si>
  <si>
    <t>Sends per crag</t>
  </si>
  <si>
    <t>Chris Awe</t>
  </si>
  <si>
    <t>Ötz</t>
  </si>
  <si>
    <t>Starkenbach</t>
  </si>
  <si>
    <t>Herbstwind</t>
  </si>
  <si>
    <t>Betka</t>
  </si>
  <si>
    <t>Hokus Pokus</t>
  </si>
  <si>
    <t>Tiramisu</t>
  </si>
  <si>
    <t>Türkischer Kaffee</t>
  </si>
  <si>
    <t>Height range (m)</t>
  </si>
  <si>
    <t>Perros</t>
  </si>
  <si>
    <t>Zillertal - Astholz</t>
  </si>
  <si>
    <t>35+</t>
  </si>
  <si>
    <t>Sum of Score</t>
  </si>
  <si>
    <t>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</si>
</sst>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 &quot;*&quot;"/>
  </numFmts>
  <fonts count="3" x14ac:knownFonts="1">
    <font>
      <sz val="10"/>
      <name val="Arial"/>
      <family val="2"/>
    </font>
    <font>
      <sz val="10"/>
      <color theme="1"/>
      <name val="Arial"/>
      <family val="2"/>
    </font>
    <font>
      <sz val="8"/>
      <name val="Arial"/>
      <family val="2"/>
    </font>
  </fonts>
  <fills count="5">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8" tint="0.79998168889431442"/>
        <bgColor indexed="64"/>
      </patternFill>
    </fill>
  </fills>
  <borders count="1">
    <border>
      <left/>
      <right/>
      <top/>
      <bottom/>
      <diagonal/>
    </border>
  </borders>
  <cellStyleXfs count="1">
    <xf numFmtId="0" fontId="0" fillId="0" borderId="0"/>
  </cellStyleXfs>
  <cellXfs count="10">
    <xf numFmtId="0" fontId="0" fillId="0" borderId="0" xfId="0"/>
    <xf numFmtId="0" fontId="0" fillId="0" borderId="0" xfId="0" pivotButton="1"/>
    <xf numFmtId="0" fontId="0" fillId="0" borderId="0" xfId="0" applyAlignment="1">
      <alignment horizontal="left"/>
    </xf>
    <xf numFmtId="0" fontId="0" fillId="2" borderId="0" xfId="0" applyFill="1"/>
    <xf numFmtId="0" fontId="0" fillId="3" borderId="0" xfId="0" applyFill="1"/>
    <xf numFmtId="0" fontId="1" fillId="0" borderId="0" xfId="0" applyFont="1"/>
    <xf numFmtId="0" fontId="0" fillId="0" borderId="0" xfId="0" applyAlignment="1">
      <alignment wrapText="1"/>
    </xf>
    <xf numFmtId="0" fontId="0" fillId="4" borderId="0" xfId="0" applyFill="1"/>
    <xf numFmtId="164" fontId="0" fillId="0" borderId="0" xfId="0" applyNumberFormat="1" applyAlignment="1">
      <alignment horizontal="left"/>
    </xf>
    <xf numFmtId="0" fontId="0" fillId="0" borderId="0" xfId="0" applyNumberFormat="1"/>
  </cellXfs>
  <cellStyles count="1">
    <cellStyle name="Normal" xfId="0" builtinId="0"/>
  </cellStyles>
  <dxfs count="5">
    <dxf>
      <numFmt numFmtId="0" formatCode="General"/>
    </dxf>
    <dxf>
      <font>
        <b/>
        <color theme="1"/>
      </font>
      <border>
        <bottom style="thin">
          <color theme="5"/>
        </bottom>
        <vertical/>
        <horizontal/>
      </border>
    </dxf>
    <dxf>
      <font>
        <color theme="1"/>
      </font>
      <border>
        <left style="thin">
          <color theme="5"/>
        </left>
        <right style="thin">
          <color theme="5"/>
        </right>
        <top style="thin">
          <color theme="5"/>
        </top>
        <bottom style="thin">
          <color theme="5"/>
        </bottom>
        <vertical/>
        <horizontal/>
      </border>
    </dxf>
    <dxf>
      <font>
        <b/>
        <color theme="1"/>
      </font>
      <fill>
        <patternFill>
          <bgColor rgb="FF7030A0"/>
        </patternFill>
      </fill>
      <border>
        <bottom style="thin">
          <color theme="8"/>
        </bottom>
        <vertical/>
        <horizontal/>
      </border>
    </dxf>
    <dxf>
      <font>
        <color theme="1"/>
      </font>
      <fill>
        <patternFill patternType="none">
          <fgColor indexed="64"/>
          <bgColor auto="1"/>
        </patternFill>
      </fill>
      <border>
        <left style="thin">
          <color theme="8"/>
        </left>
        <right style="thin">
          <color theme="8"/>
        </right>
        <top style="thin">
          <color theme="8"/>
        </top>
        <bottom style="thin">
          <color theme="8"/>
        </bottom>
        <vertical/>
        <horizontal/>
      </border>
    </dxf>
  </dxfs>
  <tableStyles count="2" defaultTableStyle="TableStyleMedium2" defaultPivotStyle="PivotStyleLight16">
    <tableStyle name="Belayer" pivot="0" table="0" count="10" xr9:uid="{3B852CD3-873F-4B46-B9AF-0EAC3BA7239A}">
      <tableStyleElement type="wholeTable" dxfId="4"/>
      <tableStyleElement type="headerRow" dxfId="3"/>
    </tableStyle>
    <tableStyle name="SlicerStyleDark2 2" pivot="0" table="0" count="10" xr9:uid="{E4FA39DE-804B-4527-94CC-BAFD02E974DF}">
      <tableStyleElement type="wholeTable" dxfId="2"/>
      <tableStyleElement type="headerRow" dxfId="1"/>
    </tableStyle>
  </tableStyles>
  <colors>
    <mruColors>
      <color rgb="FFBC0000"/>
      <color rgb="FF0070C0"/>
      <color rgb="FFAC0000"/>
      <color rgb="FFDFDA00"/>
      <color rgb="FFFFFF00"/>
      <color rgb="FFFCDF34"/>
      <color rgb="FFFFCC00"/>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5" tint="0.59999389629810485"/>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color theme="0"/>
          </font>
          <fill>
            <patternFill patternType="solid">
              <fgColor theme="5"/>
              <bgColor rgb="FFC00000"/>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8" tint="-0.249977111117893"/>
          </font>
          <fill>
            <patternFill patternType="solid">
              <fgColor theme="8" tint="0.59999389629810485"/>
              <bgColor theme="8" tint="0.59999389629810485"/>
            </patternFill>
          </fill>
          <border>
            <left style="thin">
              <color theme="8" tint="0.59999389629810485"/>
            </left>
            <right style="thin">
              <color theme="8" tint="0.59999389629810485"/>
            </right>
            <top style="thin">
              <color theme="8" tint="0.59999389629810485"/>
            </top>
            <bottom style="thin">
              <color theme="8" tint="0.59999389629810485"/>
            </bottom>
            <vertical/>
            <horizontal/>
          </border>
        </dxf>
        <dxf>
          <font>
            <color theme="0"/>
          </font>
          <fill>
            <patternFill patternType="solid">
              <fgColor rgb="FF7030A0"/>
              <bgColor rgb="FF7030A0"/>
            </patternFill>
          </fill>
          <border>
            <left style="thin">
              <color theme="8"/>
            </left>
            <right style="thin">
              <color theme="8"/>
            </right>
            <top style="thin">
              <color theme="8"/>
            </top>
            <bottom style="thin">
              <color theme="8"/>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Belayer">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Dark2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9.xml"/><Relationship Id="rId18" Type="http://schemas.microsoft.com/office/2007/relationships/slicerCache" Target="slicerCaches/slicerCache4.xml"/><Relationship Id="rId26" Type="http://schemas.openxmlformats.org/officeDocument/2006/relationships/calcChain" Target="calcChain.xml"/><Relationship Id="rId39" Type="http://schemas.openxmlformats.org/officeDocument/2006/relationships/customXml" Target="../customXml/item13.xml"/><Relationship Id="rId21" Type="http://schemas.openxmlformats.org/officeDocument/2006/relationships/theme" Target="theme/theme1.xml"/><Relationship Id="rId34" Type="http://schemas.openxmlformats.org/officeDocument/2006/relationships/customXml" Target="../customXml/item8.xml"/><Relationship Id="rId42" Type="http://schemas.openxmlformats.org/officeDocument/2006/relationships/customXml" Target="../customXml/item16.xml"/><Relationship Id="rId7" Type="http://schemas.openxmlformats.org/officeDocument/2006/relationships/pivotCacheDefinition" Target="pivotCache/pivotCacheDefinition3.xml"/><Relationship Id="rId2" Type="http://schemas.openxmlformats.org/officeDocument/2006/relationships/worksheet" Target="worksheets/sheet2.xml"/><Relationship Id="rId16" Type="http://schemas.microsoft.com/office/2007/relationships/slicerCache" Target="slicerCaches/slicerCache2.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sharedStrings" Target="sharedStrings.xml"/><Relationship Id="rId32" Type="http://schemas.openxmlformats.org/officeDocument/2006/relationships/customXml" Target="../customXml/item6.xml"/><Relationship Id="rId37" Type="http://schemas.openxmlformats.org/officeDocument/2006/relationships/customXml" Target="../customXml/item11.xml"/><Relationship Id="rId40" Type="http://schemas.openxmlformats.org/officeDocument/2006/relationships/customXml" Target="../customXml/item14.xml"/><Relationship Id="rId45" Type="http://schemas.openxmlformats.org/officeDocument/2006/relationships/customXml" Target="../customXml/item19.xml"/><Relationship Id="rId5" Type="http://schemas.openxmlformats.org/officeDocument/2006/relationships/pivotCacheDefinition" Target="pivotCache/pivotCacheDefinition1.xml"/><Relationship Id="rId15" Type="http://schemas.microsoft.com/office/2007/relationships/slicerCache" Target="slicerCaches/slicerCache1.xml"/><Relationship Id="rId23" Type="http://schemas.openxmlformats.org/officeDocument/2006/relationships/styles" Target="styles.xml"/><Relationship Id="rId28" Type="http://schemas.openxmlformats.org/officeDocument/2006/relationships/customXml" Target="../customXml/item2.xml"/><Relationship Id="rId36" Type="http://schemas.openxmlformats.org/officeDocument/2006/relationships/customXml" Target="../customXml/item10.xml"/><Relationship Id="rId10" Type="http://schemas.openxmlformats.org/officeDocument/2006/relationships/pivotCacheDefinition" Target="pivotCache/pivotCacheDefinition6.xml"/><Relationship Id="rId19" Type="http://schemas.microsoft.com/office/2007/relationships/slicerCache" Target="slicerCaches/slicerCache5.xml"/><Relationship Id="rId31" Type="http://schemas.openxmlformats.org/officeDocument/2006/relationships/customXml" Target="../customXml/item5.xml"/><Relationship Id="rId44" Type="http://schemas.openxmlformats.org/officeDocument/2006/relationships/customXml" Target="../customXml/item18.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connections" Target="connections.xml"/><Relationship Id="rId27" Type="http://schemas.openxmlformats.org/officeDocument/2006/relationships/customXml" Target="../customXml/item1.xml"/><Relationship Id="rId30" Type="http://schemas.openxmlformats.org/officeDocument/2006/relationships/customXml" Target="../customXml/item4.xml"/><Relationship Id="rId35" Type="http://schemas.openxmlformats.org/officeDocument/2006/relationships/customXml" Target="../customXml/item9.xml"/><Relationship Id="rId43" Type="http://schemas.openxmlformats.org/officeDocument/2006/relationships/customXml" Target="../customXml/item17.xml"/><Relationship Id="rId8" Type="http://schemas.openxmlformats.org/officeDocument/2006/relationships/pivotCacheDefinition" Target="pivotCache/pivotCacheDefinition4.xml"/><Relationship Id="rId3" Type="http://schemas.openxmlformats.org/officeDocument/2006/relationships/worksheet" Target="worksheets/sheet3.xml"/><Relationship Id="rId12" Type="http://schemas.openxmlformats.org/officeDocument/2006/relationships/pivotCacheDefinition" Target="pivotCache/pivotCacheDefinition8.xml"/><Relationship Id="rId17" Type="http://schemas.microsoft.com/office/2007/relationships/slicerCache" Target="slicerCaches/slicerCache3.xml"/><Relationship Id="rId25" Type="http://schemas.openxmlformats.org/officeDocument/2006/relationships/powerPivotData" Target="model/item.data"/><Relationship Id="rId33" Type="http://schemas.openxmlformats.org/officeDocument/2006/relationships/customXml" Target="../customXml/item7.xml"/><Relationship Id="rId38" Type="http://schemas.openxmlformats.org/officeDocument/2006/relationships/customXml" Target="../customXml/item12.xml"/><Relationship Id="rId46" Type="http://schemas.openxmlformats.org/officeDocument/2006/relationships/customXml" Target="../customXml/item20.xml"/><Relationship Id="rId20" Type="http://schemas.microsoft.com/office/2007/relationships/slicerCache" Target="slicerCaches/slicerCache6.xml"/><Relationship Id="rId41" Type="http://schemas.openxmlformats.org/officeDocument/2006/relationships/customXml" Target="../customXml/item1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[Sport climbing data and dashboard.xlsx]PIVOTS!PivotTable21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COUNTRIES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23791821561338289"/>
              <c:y val="-5.092592592592592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0.25774473358116479"/>
              <c:y val="-0.1157407407407407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0.16852540272614622"/>
              <c:y val="-0.1342592592592592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3.9653035935563859E-2"/>
              <c:y val="-0.1481481481481481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12"/>
        <c:spPr>
          <a:solidFill>
            <a:schemeClr val="accent1"/>
          </a:solidFill>
          <a:ln w="19050">
            <a:solidFill>
              <a:schemeClr val="lt1"/>
            </a:solidFill>
          </a:ln>
          <a:effectLst/>
        </c:spPr>
        <c:dLbl>
          <c:idx val="0"/>
          <c:layout>
            <c:manualLayout>
              <c:x val="0.14374225526641884"/>
              <c:y val="0.111111111111111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s>
    <c:plotArea>
      <c:layout/>
      <c:doughnutChart>
        <c:varyColors val="1"/>
        <c:ser>
          <c:idx val="0"/>
          <c:order val="0"/>
          <c:tx>
            <c:strRef>
              <c:f>PIVOTS!$N$2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D55-45FC-BFD2-DDA1D048966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D55-45FC-BFD2-DDA1D048966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D55-45FC-BFD2-DDA1D048966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D55-45FC-BFD2-DDA1D048966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D55-45FC-BFD2-DDA1D0489660}"/>
              </c:ext>
            </c:extLst>
          </c:dPt>
          <c:dLbls>
            <c:dLbl>
              <c:idx val="0"/>
              <c:layout>
                <c:manualLayout>
                  <c:x val="0.14374225526641884"/>
                  <c:y val="0.111111111111111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1-FD55-45FC-BFD2-DDA1D0489660}"/>
                </c:ext>
              </c:extLst>
            </c:dLbl>
            <c:dLbl>
              <c:idx val="1"/>
              <c:layout>
                <c:manualLayout>
                  <c:x val="-0.23791821561338289"/>
                  <c:y val="-5.0925925925925923E-2"/>
                </c:manualLayout>
              </c:layou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3-FD55-45FC-BFD2-DDA1D0489660}"/>
                </c:ext>
              </c:extLst>
            </c:dLbl>
            <c:dLbl>
              <c:idx val="2"/>
              <c:layout>
                <c:manualLayout>
                  <c:x val="-0.25774473358116479"/>
                  <c:y val="-0.11574074074074074"/>
                </c:manualLayout>
              </c:layou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5-FD55-45FC-BFD2-DDA1D0489660}"/>
                </c:ext>
              </c:extLst>
            </c:dLbl>
            <c:dLbl>
              <c:idx val="3"/>
              <c:layout>
                <c:manualLayout>
                  <c:x val="-3.9653035935563859E-2"/>
                  <c:y val="-0.14814814814814814"/>
                </c:manualLayout>
              </c:layou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7-FD55-45FC-BFD2-DDA1D0489660}"/>
                </c:ext>
              </c:extLst>
            </c:dLbl>
            <c:dLbl>
              <c:idx val="4"/>
              <c:layout>
                <c:manualLayout>
                  <c:x val="0.16852540272614622"/>
                  <c:y val="-0.13425925925925927"/>
                </c:manualLayout>
              </c:layou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9-FD55-45FC-BFD2-DDA1D048966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PIVOTS!$M$3:$M$8</c:f>
              <c:strCache>
                <c:ptCount val="5"/>
                <c:pt idx="0">
                  <c:v>Spain</c:v>
                </c:pt>
                <c:pt idx="1">
                  <c:v>Austria</c:v>
                </c:pt>
                <c:pt idx="2">
                  <c:v>France</c:v>
                </c:pt>
                <c:pt idx="3">
                  <c:v>Portugal</c:v>
                </c:pt>
                <c:pt idx="4">
                  <c:v>Italy</c:v>
                </c:pt>
              </c:strCache>
            </c:strRef>
          </c:cat>
          <c:val>
            <c:numRef>
              <c:f>PIVOTS!$N$3:$N$8</c:f>
              <c:numCache>
                <c:formatCode>General</c:formatCode>
                <c:ptCount val="5"/>
                <c:pt idx="0">
                  <c:v>131</c:v>
                </c:pt>
                <c:pt idx="1">
                  <c:v>15</c:v>
                </c:pt>
                <c:pt idx="2">
                  <c:v>8</c:v>
                </c:pt>
                <c:pt idx="3">
                  <c:v>2</c:v>
                </c:pt>
                <c:pt idx="4">
                  <c:v>1</c:v>
                </c:pt>
              </c:numCache>
            </c:numRef>
          </c:val>
          <c:extLst>
            <c:ext xmlns:c16="http://schemas.microsoft.com/office/drawing/2014/chart" uri="{C3380CC4-5D6E-409C-BE32-E72D297353CC}">
              <c16:uniqueId val="{0000000A-FD55-45FC-BFD2-DDA1D0489660}"/>
            </c:ext>
          </c:extLst>
        </c:ser>
        <c:dLbls>
          <c:showLegendKey val="0"/>
          <c:showVal val="1"/>
          <c:showCatName val="0"/>
          <c:showSerName val="0"/>
          <c:showPercent val="0"/>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[Sport climbing data and dashboard.xlsx]PIVOTS!PivotTable17</c:name>
    <c:fmtId val="2"/>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TOP 5 FAVOURITE BELAYERS</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n-US"/>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pivotFmt>
      <c:pivotFmt>
        <c:idx val="4"/>
      </c:pivotFmt>
      <c:pivotFmt>
        <c:idx val="5"/>
      </c:pivotFmt>
      <c:pivotFmt>
        <c:idx val="6"/>
      </c:pivotFmt>
      <c:pivotFmt>
        <c:idx val="7"/>
        <c:spPr>
          <a:solidFill>
            <a:schemeClr val="accent2"/>
          </a:solidFill>
          <a:ln>
            <a:noFill/>
          </a:ln>
          <a:effectLst/>
        </c:spPr>
      </c:pivotFmt>
      <c:pivotFmt>
        <c:idx val="8"/>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PIVOTS!$B$33</c:f>
              <c:strCache>
                <c:ptCount val="1"/>
                <c:pt idx="0">
                  <c:v>Total</c:v>
                </c:pt>
              </c:strCache>
            </c:strRef>
          </c:tx>
          <c:spPr>
            <a:solidFill>
              <a:srgbClr val="7030A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PIVOTS!$A$34:$A$39</c:f>
              <c:strCache>
                <c:ptCount val="5"/>
                <c:pt idx="0">
                  <c:v>Guy</c:v>
                </c:pt>
                <c:pt idx="1">
                  <c:v>Lena</c:v>
                </c:pt>
                <c:pt idx="2">
                  <c:v>Yoel</c:v>
                </c:pt>
                <c:pt idx="3">
                  <c:v>Kathy</c:v>
                </c:pt>
                <c:pt idx="4">
                  <c:v>Chris Awe</c:v>
                </c:pt>
              </c:strCache>
            </c:strRef>
          </c:cat>
          <c:val>
            <c:numRef>
              <c:f>PIVOTS!$B$34:$B$39</c:f>
              <c:numCache>
                <c:formatCode>General</c:formatCode>
                <c:ptCount val="5"/>
                <c:pt idx="0">
                  <c:v>20</c:v>
                </c:pt>
                <c:pt idx="1">
                  <c:v>11</c:v>
                </c:pt>
                <c:pt idx="2">
                  <c:v>9</c:v>
                </c:pt>
                <c:pt idx="3">
                  <c:v>9</c:v>
                </c:pt>
                <c:pt idx="4">
                  <c:v>8</c:v>
                </c:pt>
              </c:numCache>
            </c:numRef>
          </c:val>
          <c:extLst>
            <c:ext xmlns:c16="http://schemas.microsoft.com/office/drawing/2014/chart" uri="{C3380CC4-5D6E-409C-BE32-E72D297353CC}">
              <c16:uniqueId val="{00000002-BF73-4A21-9604-683B3517292D}"/>
            </c:ext>
          </c:extLst>
        </c:ser>
        <c:dLbls>
          <c:dLblPos val="outEnd"/>
          <c:showLegendKey val="0"/>
          <c:showVal val="1"/>
          <c:showCatName val="0"/>
          <c:showSerName val="0"/>
          <c:showPercent val="0"/>
          <c:showBubbleSize val="0"/>
        </c:dLbls>
        <c:gapWidth val="75"/>
        <c:axId val="1225436432"/>
        <c:axId val="760647184"/>
      </c:barChart>
      <c:catAx>
        <c:axId val="122543643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0647184"/>
        <c:crosses val="autoZero"/>
        <c:auto val="1"/>
        <c:lblAlgn val="ctr"/>
        <c:lblOffset val="100"/>
        <c:noMultiLvlLbl val="0"/>
      </c:catAx>
      <c:valAx>
        <c:axId val="760647184"/>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crossAx val="12254364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[Sport climbing data and dashboard.xlsx]PIVOTS!PivotTable22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DISTRIBUTION OF THE NUMBER OF TRIES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PIVOTS!$N$12</c:f>
              <c:strCache>
                <c:ptCount val="1"/>
                <c:pt idx="0">
                  <c:v>Total</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PIVOTS!$M$13:$M$26</c:f>
              <c:strCache>
                <c:ptCount val="13"/>
                <c:pt idx="0">
                  <c:v>2</c:v>
                </c:pt>
                <c:pt idx="1">
                  <c:v>onsight</c:v>
                </c:pt>
                <c:pt idx="2">
                  <c:v>flash</c:v>
                </c:pt>
                <c:pt idx="3">
                  <c:v>3</c:v>
                </c:pt>
                <c:pt idx="4">
                  <c:v>4</c:v>
                </c:pt>
                <c:pt idx="5">
                  <c:v>5</c:v>
                </c:pt>
                <c:pt idx="6">
                  <c:v>6</c:v>
                </c:pt>
                <c:pt idx="7">
                  <c:v>7</c:v>
                </c:pt>
                <c:pt idx="8">
                  <c:v>10</c:v>
                </c:pt>
                <c:pt idx="9">
                  <c:v>8</c:v>
                </c:pt>
                <c:pt idx="10">
                  <c:v>50</c:v>
                </c:pt>
                <c:pt idx="11">
                  <c:v>12</c:v>
                </c:pt>
                <c:pt idx="12">
                  <c:v>14</c:v>
                </c:pt>
              </c:strCache>
            </c:strRef>
          </c:cat>
          <c:val>
            <c:numRef>
              <c:f>PIVOTS!$N$13:$N$26</c:f>
              <c:numCache>
                <c:formatCode>General</c:formatCode>
                <c:ptCount val="13"/>
                <c:pt idx="0">
                  <c:v>55</c:v>
                </c:pt>
                <c:pt idx="1">
                  <c:v>47</c:v>
                </c:pt>
                <c:pt idx="2">
                  <c:v>16</c:v>
                </c:pt>
                <c:pt idx="3">
                  <c:v>14</c:v>
                </c:pt>
                <c:pt idx="4">
                  <c:v>8</c:v>
                </c:pt>
                <c:pt idx="5">
                  <c:v>4</c:v>
                </c:pt>
                <c:pt idx="6">
                  <c:v>3</c:v>
                </c:pt>
                <c:pt idx="7">
                  <c:v>3</c:v>
                </c:pt>
                <c:pt idx="8">
                  <c:v>2</c:v>
                </c:pt>
                <c:pt idx="9">
                  <c:v>2</c:v>
                </c:pt>
                <c:pt idx="10">
                  <c:v>1</c:v>
                </c:pt>
                <c:pt idx="11">
                  <c:v>1</c:v>
                </c:pt>
                <c:pt idx="12">
                  <c:v>1</c:v>
                </c:pt>
              </c:numCache>
            </c:numRef>
          </c:val>
          <c:extLst>
            <c:ext xmlns:c16="http://schemas.microsoft.com/office/drawing/2014/chart" uri="{C3380CC4-5D6E-409C-BE32-E72D297353CC}">
              <c16:uniqueId val="{00000000-D314-47EC-838E-5351AE404291}"/>
            </c:ext>
          </c:extLst>
        </c:ser>
        <c:dLbls>
          <c:showLegendKey val="0"/>
          <c:showVal val="0"/>
          <c:showCatName val="0"/>
          <c:showSerName val="0"/>
          <c:showPercent val="0"/>
          <c:showBubbleSize val="0"/>
        </c:dLbls>
        <c:gapWidth val="75"/>
        <c:axId val="1225433552"/>
        <c:axId val="1220341056"/>
      </c:barChart>
      <c:catAx>
        <c:axId val="1225433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0341056"/>
        <c:crosses val="autoZero"/>
        <c:auto val="1"/>
        <c:lblAlgn val="ctr"/>
        <c:lblOffset val="100"/>
        <c:noMultiLvlLbl val="0"/>
      </c:catAx>
      <c:valAx>
        <c:axId val="1220341056"/>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2254335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[Sport climbing data and dashboard.xlsx]PIVOTS!PivotTable18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TIMELINE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PIVOTS!$E$1</c:f>
              <c:strCache>
                <c:ptCount val="1"/>
                <c:pt idx="0">
                  <c:v>Total</c:v>
                </c:pt>
              </c:strCache>
            </c:strRef>
          </c:tx>
          <c:spPr>
            <a:solidFill>
              <a:schemeClr val="accent6"/>
            </a:solidFill>
            <a:ln>
              <a:noFill/>
            </a:ln>
            <a:effectLst/>
          </c:spPr>
          <c:invertIfNegative val="0"/>
          <c:cat>
            <c:strRef>
              <c:f>PIVOTS!$D$2:$D$20</c:f>
              <c:strCache>
                <c:ptCount val="18"/>
                <c:pt idx="0">
                  <c:v>2006</c:v>
                </c:pt>
                <c:pt idx="1">
                  <c:v>2007</c:v>
                </c:pt>
                <c:pt idx="2">
                  <c:v>2008</c:v>
                </c:pt>
                <c:pt idx="3">
                  <c:v>2009</c:v>
                </c:pt>
                <c:pt idx="4">
                  <c:v>2010</c:v>
                </c:pt>
                <c:pt idx="5">
                  <c:v>2011</c:v>
                </c:pt>
                <c:pt idx="6">
                  <c:v>2012</c:v>
                </c:pt>
                <c:pt idx="7">
                  <c:v>2013</c:v>
                </c:pt>
                <c:pt idx="8">
                  <c:v>2014</c:v>
                </c:pt>
                <c:pt idx="9">
                  <c:v>2015</c:v>
                </c:pt>
                <c:pt idx="10">
                  <c:v>2016</c:v>
                </c:pt>
                <c:pt idx="11">
                  <c:v>2017</c:v>
                </c:pt>
                <c:pt idx="12">
                  <c:v>2018</c:v>
                </c:pt>
                <c:pt idx="13">
                  <c:v>2019</c:v>
                </c:pt>
                <c:pt idx="14">
                  <c:v>2020</c:v>
                </c:pt>
                <c:pt idx="15">
                  <c:v>2021</c:v>
                </c:pt>
                <c:pt idx="16">
                  <c:v>2022</c:v>
                </c:pt>
                <c:pt idx="17">
                  <c:v>2023</c:v>
                </c:pt>
              </c:strCache>
            </c:strRef>
          </c:cat>
          <c:val>
            <c:numRef>
              <c:f>PIVOTS!$E$2:$E$20</c:f>
              <c:numCache>
                <c:formatCode>General</c:formatCode>
                <c:ptCount val="18"/>
                <c:pt idx="0">
                  <c:v>1</c:v>
                </c:pt>
                <c:pt idx="1">
                  <c:v>1</c:v>
                </c:pt>
                <c:pt idx="2">
                  <c:v>2</c:v>
                </c:pt>
                <c:pt idx="3">
                  <c:v>0</c:v>
                </c:pt>
                <c:pt idx="4">
                  <c:v>0</c:v>
                </c:pt>
                <c:pt idx="5">
                  <c:v>1</c:v>
                </c:pt>
                <c:pt idx="6">
                  <c:v>3</c:v>
                </c:pt>
                <c:pt idx="7">
                  <c:v>16</c:v>
                </c:pt>
                <c:pt idx="8">
                  <c:v>0</c:v>
                </c:pt>
                <c:pt idx="9">
                  <c:v>0</c:v>
                </c:pt>
                <c:pt idx="10">
                  <c:v>2</c:v>
                </c:pt>
                <c:pt idx="11">
                  <c:v>31</c:v>
                </c:pt>
                <c:pt idx="12">
                  <c:v>25</c:v>
                </c:pt>
                <c:pt idx="13">
                  <c:v>7</c:v>
                </c:pt>
                <c:pt idx="14">
                  <c:v>10</c:v>
                </c:pt>
                <c:pt idx="15">
                  <c:v>17</c:v>
                </c:pt>
                <c:pt idx="16">
                  <c:v>19</c:v>
                </c:pt>
                <c:pt idx="17">
                  <c:v>22</c:v>
                </c:pt>
              </c:numCache>
            </c:numRef>
          </c:val>
          <c:extLst>
            <c:ext xmlns:c16="http://schemas.microsoft.com/office/drawing/2014/chart" uri="{C3380CC4-5D6E-409C-BE32-E72D297353CC}">
              <c16:uniqueId val="{00000000-6E00-4D5B-BDDD-F5F25119C631}"/>
            </c:ext>
          </c:extLst>
        </c:ser>
        <c:dLbls>
          <c:showLegendKey val="0"/>
          <c:showVal val="0"/>
          <c:showCatName val="0"/>
          <c:showSerName val="0"/>
          <c:showPercent val="0"/>
          <c:showBubbleSize val="0"/>
        </c:dLbls>
        <c:gapWidth val="75"/>
        <c:axId val="226068464"/>
        <c:axId val="941554400"/>
      </c:barChart>
      <c:catAx>
        <c:axId val="2260684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1554400"/>
        <c:crosses val="autoZero"/>
        <c:auto val="1"/>
        <c:lblAlgn val="ctr"/>
        <c:lblOffset val="100"/>
        <c:noMultiLvlLbl val="0"/>
      </c:catAx>
      <c:valAx>
        <c:axId val="9415544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606846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[Sport climbing data and dashboard.xlsx]PIVOTS!PivotTable19</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FAVORITE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FDA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PIVOTS!$E$24</c:f>
              <c:strCache>
                <c:ptCount val="1"/>
                <c:pt idx="0">
                  <c:v>Total</c:v>
                </c:pt>
              </c:strCache>
            </c:strRef>
          </c:tx>
          <c:spPr>
            <a:solidFill>
              <a:srgbClr val="DFDA00"/>
            </a:solidFill>
            <a:ln>
              <a:noFill/>
            </a:ln>
            <a:effectLst/>
          </c:spPr>
          <c:invertIfNegative val="0"/>
          <c:cat>
            <c:strRef>
              <c:f>PIVOTS!$D$25:$D$37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PIVOTS!$E$25:$E$37</c:f>
              <c:numCache>
                <c:formatCode>General</c:formatCode>
                <c:ptCount val="12"/>
                <c:pt idx="0">
                  <c:v>4</c:v>
                </c:pt>
                <c:pt idx="1">
                  <c:v>25</c:v>
                </c:pt>
                <c:pt idx="2">
                  <c:v>8</c:v>
                </c:pt>
                <c:pt idx="3">
                  <c:v>25</c:v>
                </c:pt>
                <c:pt idx="4">
                  <c:v>15</c:v>
                </c:pt>
                <c:pt idx="5">
                  <c:v>15</c:v>
                </c:pt>
                <c:pt idx="6">
                  <c:v>9</c:v>
                </c:pt>
                <c:pt idx="7">
                  <c:v>4</c:v>
                </c:pt>
                <c:pt idx="8">
                  <c:v>14</c:v>
                </c:pt>
                <c:pt idx="9">
                  <c:v>14</c:v>
                </c:pt>
                <c:pt idx="10">
                  <c:v>15</c:v>
                </c:pt>
                <c:pt idx="11">
                  <c:v>9</c:v>
                </c:pt>
              </c:numCache>
            </c:numRef>
          </c:val>
          <c:extLst>
            <c:ext xmlns:c16="http://schemas.microsoft.com/office/drawing/2014/chart" uri="{C3380CC4-5D6E-409C-BE32-E72D297353CC}">
              <c16:uniqueId val="{00000000-4D9C-4600-A757-0B302E3EF320}"/>
            </c:ext>
          </c:extLst>
        </c:ser>
        <c:dLbls>
          <c:showLegendKey val="0"/>
          <c:showVal val="0"/>
          <c:showCatName val="0"/>
          <c:showSerName val="0"/>
          <c:showPercent val="0"/>
          <c:showBubbleSize val="0"/>
        </c:dLbls>
        <c:gapWidth val="75"/>
        <c:axId val="226069424"/>
        <c:axId val="773902656"/>
      </c:barChart>
      <c:catAx>
        <c:axId val="226069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3902656"/>
        <c:crosses val="autoZero"/>
        <c:auto val="1"/>
        <c:lblAlgn val="ctr"/>
        <c:lblOffset val="100"/>
        <c:noMultiLvlLbl val="0"/>
      </c:catAx>
      <c:valAx>
        <c:axId val="7739026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60694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[Sport climbing data and dashboard.xlsx]PIVOTS!PivotTable20</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FAVORITE CRAGS</a:t>
            </a:r>
          </a:p>
        </c:rich>
      </c:tx>
      <c:layout>
        <c:manualLayout>
          <c:xMode val="edge"/>
          <c:yMode val="edge"/>
          <c:x val="0.3082162162162162"/>
          <c:y val="4.990522018081073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C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PIVOTS!$H$1</c:f>
              <c:strCache>
                <c:ptCount val="1"/>
                <c:pt idx="0">
                  <c:v>Total</c:v>
                </c:pt>
              </c:strCache>
            </c:strRef>
          </c:tx>
          <c:spPr>
            <a:solidFill>
              <a:srgbClr val="BC0000"/>
            </a:solidFill>
            <a:ln>
              <a:noFill/>
            </a:ln>
            <a:effectLst/>
          </c:spPr>
          <c:invertIfNegative val="0"/>
          <c:cat>
            <c:strRef>
              <c:f>PIVOTS!$G$2:$G$12</c:f>
              <c:strCache>
                <c:ptCount val="10"/>
                <c:pt idx="0">
                  <c:v>Siurana</c:v>
                </c:pt>
                <c:pt idx="1">
                  <c:v>Grau dels matxos</c:v>
                </c:pt>
                <c:pt idx="2">
                  <c:v>Chulilla</c:v>
                </c:pt>
                <c:pt idx="3">
                  <c:v>Gelida</c:v>
                </c:pt>
                <c:pt idx="4">
                  <c:v>Arbolí</c:v>
                </c:pt>
                <c:pt idx="5">
                  <c:v>Garraf</c:v>
                </c:pt>
                <c:pt idx="6">
                  <c:v>Margalef</c:v>
                </c:pt>
                <c:pt idx="7">
                  <c:v>Font Soleia</c:v>
                </c:pt>
                <c:pt idx="8">
                  <c:v>Mallorca</c:v>
                </c:pt>
                <c:pt idx="9">
                  <c:v>Martinswand</c:v>
                </c:pt>
              </c:strCache>
            </c:strRef>
          </c:cat>
          <c:val>
            <c:numRef>
              <c:f>PIVOTS!$H$2:$H$12</c:f>
              <c:numCache>
                <c:formatCode>General</c:formatCode>
                <c:ptCount val="10"/>
                <c:pt idx="0">
                  <c:v>44</c:v>
                </c:pt>
                <c:pt idx="1">
                  <c:v>16</c:v>
                </c:pt>
                <c:pt idx="2">
                  <c:v>13</c:v>
                </c:pt>
                <c:pt idx="3">
                  <c:v>12</c:v>
                </c:pt>
                <c:pt idx="4">
                  <c:v>7</c:v>
                </c:pt>
                <c:pt idx="5">
                  <c:v>7</c:v>
                </c:pt>
                <c:pt idx="6">
                  <c:v>6</c:v>
                </c:pt>
                <c:pt idx="7">
                  <c:v>5</c:v>
                </c:pt>
                <c:pt idx="8">
                  <c:v>4</c:v>
                </c:pt>
                <c:pt idx="9">
                  <c:v>3</c:v>
                </c:pt>
              </c:numCache>
            </c:numRef>
          </c:val>
          <c:extLst>
            <c:ext xmlns:c16="http://schemas.microsoft.com/office/drawing/2014/chart" uri="{C3380CC4-5D6E-409C-BE32-E72D297353CC}">
              <c16:uniqueId val="{00000000-8FAB-4B51-9372-04972A5DF2EA}"/>
            </c:ext>
          </c:extLst>
        </c:ser>
        <c:dLbls>
          <c:showLegendKey val="0"/>
          <c:showVal val="0"/>
          <c:showCatName val="0"/>
          <c:showSerName val="0"/>
          <c:showPercent val="0"/>
          <c:showBubbleSize val="0"/>
        </c:dLbls>
        <c:gapWidth val="75"/>
        <c:axId val="1232114992"/>
        <c:axId val="628608288"/>
      </c:barChart>
      <c:catAx>
        <c:axId val="12321149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8608288"/>
        <c:crosses val="autoZero"/>
        <c:auto val="1"/>
        <c:lblAlgn val="ctr"/>
        <c:lblOffset val="100"/>
        <c:noMultiLvlLbl val="0"/>
      </c:catAx>
      <c:valAx>
        <c:axId val="628608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21149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[Sport climbing data and dashboard.xlsx]PIVOTS!PivotTable4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GRADES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w="19050">
            <a:solidFill>
              <a:schemeClr val="lt1"/>
            </a:solidFill>
          </a:ln>
          <a:effectLst/>
        </c:spPr>
      </c:pivotFmt>
      <c:pivotFmt>
        <c:idx val="3"/>
        <c:spPr>
          <a:solidFill>
            <a:schemeClr val="accent5"/>
          </a:solidFill>
          <a:ln w="19050">
            <a:solidFill>
              <a:schemeClr val="lt1"/>
            </a:solidFill>
          </a:ln>
          <a:effectLst/>
        </c:spPr>
      </c:pivotFmt>
      <c:pivotFmt>
        <c:idx val="4"/>
        <c:spPr>
          <a:solidFill>
            <a:schemeClr val="accent5"/>
          </a:solidFill>
          <a:ln w="19050">
            <a:solidFill>
              <a:schemeClr val="lt1"/>
            </a:solidFill>
          </a:ln>
          <a:effectLst/>
        </c:spPr>
      </c:pivotFmt>
      <c:pivotFmt>
        <c:idx val="5"/>
        <c:spPr>
          <a:solidFill>
            <a:schemeClr val="accent5"/>
          </a:solidFill>
          <a:ln w="19050">
            <a:solidFill>
              <a:schemeClr val="lt1"/>
            </a:solidFill>
          </a:ln>
          <a:effectLst/>
        </c:spPr>
      </c:pivotFmt>
      <c:pivotFmt>
        <c:idx val="6"/>
        <c:spPr>
          <a:solidFill>
            <a:schemeClr val="accent5"/>
          </a:solidFill>
          <a:ln w="19050">
            <a:solidFill>
              <a:schemeClr val="lt1"/>
            </a:solidFill>
          </a:ln>
          <a:effectLst/>
        </c:spPr>
      </c:pivotFmt>
      <c:pivotFmt>
        <c:idx val="7"/>
        <c:spPr>
          <a:solidFill>
            <a:schemeClr val="accent5"/>
          </a:solidFill>
          <a:ln w="19050">
            <a:solidFill>
              <a:schemeClr val="lt1"/>
            </a:solidFill>
          </a:ln>
          <a:effectLst/>
        </c:spPr>
      </c:pivotFmt>
      <c:pivotFmt>
        <c:idx val="8"/>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9"/>
        <c:spPr>
          <a:solidFill>
            <a:schemeClr val="accent5">
              <a:tint val="50000"/>
            </a:schemeClr>
          </a:solidFill>
          <a:ln w="19050">
            <a:solidFill>
              <a:schemeClr val="lt1"/>
            </a:solidFill>
          </a:ln>
          <a:effectLst/>
        </c:spPr>
        <c:dLbl>
          <c:idx val="0"/>
          <c:layout>
            <c:manualLayout>
              <c:x val="0.13930348258706468"/>
              <c:y val="0.1388888888888888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0"/>
        <c:spPr>
          <a:solidFill>
            <a:schemeClr val="accent5">
              <a:tint val="70000"/>
            </a:schemeClr>
          </a:solidFill>
          <a:ln w="19050">
            <a:solidFill>
              <a:schemeClr val="lt1"/>
            </a:solidFill>
          </a:ln>
          <a:effectLst/>
        </c:spPr>
        <c:dLbl>
          <c:idx val="0"/>
          <c:layout>
            <c:manualLayout>
              <c:x val="-0.16417910447761194"/>
              <c:y val="0.1296296296296296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1"/>
        <c:spPr>
          <a:solidFill>
            <a:schemeClr val="accent5">
              <a:tint val="90000"/>
            </a:schemeClr>
          </a:solidFill>
          <a:ln w="19050">
            <a:solidFill>
              <a:schemeClr val="lt1"/>
            </a:solidFill>
          </a:ln>
          <a:effectLst/>
        </c:spPr>
        <c:dLbl>
          <c:idx val="0"/>
          <c:layout>
            <c:manualLayout>
              <c:x val="-0.18407960199004975"/>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2"/>
        <c:spPr>
          <a:solidFill>
            <a:schemeClr val="accent5">
              <a:shade val="90000"/>
            </a:schemeClr>
          </a:solidFill>
          <a:ln w="19050">
            <a:solidFill>
              <a:schemeClr val="lt1"/>
            </a:solidFill>
          </a:ln>
          <a:effectLst/>
        </c:spPr>
        <c:dLbl>
          <c:idx val="0"/>
          <c:layout>
            <c:manualLayout>
              <c:x val="-0.20895522388059701"/>
              <c:y val="-0.1296296296296296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3"/>
        <c:spPr>
          <a:solidFill>
            <a:schemeClr val="accent5">
              <a:shade val="70000"/>
            </a:schemeClr>
          </a:solidFill>
          <a:ln w="19050">
            <a:solidFill>
              <a:schemeClr val="lt1"/>
            </a:solidFill>
          </a:ln>
          <a:effectLst/>
        </c:spPr>
        <c:dLbl>
          <c:idx val="0"/>
          <c:layout>
            <c:manualLayout>
              <c:x val="-5.4726368159204022E-2"/>
              <c:y val="-0.1527777777777777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4"/>
        <c:spPr>
          <a:solidFill>
            <a:schemeClr val="accent5">
              <a:shade val="50000"/>
            </a:schemeClr>
          </a:solidFill>
          <a:ln w="19050">
            <a:solidFill>
              <a:schemeClr val="lt1"/>
            </a:solidFill>
          </a:ln>
          <a:effectLst/>
        </c:spPr>
        <c:dLbl>
          <c:idx val="0"/>
          <c:layout>
            <c:manualLayout>
              <c:x val="0.17910447761194029"/>
              <c:y val="-0.1250000000000000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PIVOTS!$B$1</c:f>
              <c:strCache>
                <c:ptCount val="1"/>
                <c:pt idx="0">
                  <c:v>Total</c:v>
                </c:pt>
              </c:strCache>
            </c:strRef>
          </c:tx>
          <c:dPt>
            <c:idx val="0"/>
            <c:bubble3D val="0"/>
            <c:spPr>
              <a:solidFill>
                <a:schemeClr val="accent5">
                  <a:tint val="50000"/>
                </a:schemeClr>
              </a:solidFill>
              <a:ln w="19050">
                <a:solidFill>
                  <a:schemeClr val="lt1"/>
                </a:solidFill>
              </a:ln>
              <a:effectLst/>
            </c:spPr>
            <c:extLst>
              <c:ext xmlns:c16="http://schemas.microsoft.com/office/drawing/2014/chart" uri="{C3380CC4-5D6E-409C-BE32-E72D297353CC}">
                <c16:uniqueId val="{00000001-6B33-4F45-873A-00AF5FF30C91}"/>
              </c:ext>
            </c:extLst>
          </c:dPt>
          <c:dPt>
            <c:idx val="1"/>
            <c:bubble3D val="0"/>
            <c:spPr>
              <a:solidFill>
                <a:schemeClr val="accent5">
                  <a:tint val="70000"/>
                </a:schemeClr>
              </a:solidFill>
              <a:ln w="19050">
                <a:solidFill>
                  <a:schemeClr val="lt1"/>
                </a:solidFill>
              </a:ln>
              <a:effectLst/>
            </c:spPr>
            <c:extLst>
              <c:ext xmlns:c16="http://schemas.microsoft.com/office/drawing/2014/chart" uri="{C3380CC4-5D6E-409C-BE32-E72D297353CC}">
                <c16:uniqueId val="{00000003-6B33-4F45-873A-00AF5FF30C91}"/>
              </c:ext>
            </c:extLst>
          </c:dPt>
          <c:dPt>
            <c:idx val="2"/>
            <c:bubble3D val="0"/>
            <c:spPr>
              <a:solidFill>
                <a:schemeClr val="accent5">
                  <a:tint val="90000"/>
                </a:schemeClr>
              </a:solidFill>
              <a:ln w="19050">
                <a:solidFill>
                  <a:schemeClr val="lt1"/>
                </a:solidFill>
              </a:ln>
              <a:effectLst/>
            </c:spPr>
            <c:extLst>
              <c:ext xmlns:c16="http://schemas.microsoft.com/office/drawing/2014/chart" uri="{C3380CC4-5D6E-409C-BE32-E72D297353CC}">
                <c16:uniqueId val="{00000005-6B33-4F45-873A-00AF5FF30C91}"/>
              </c:ext>
            </c:extLst>
          </c:dPt>
          <c:dPt>
            <c:idx val="3"/>
            <c:bubble3D val="0"/>
            <c:spPr>
              <a:solidFill>
                <a:schemeClr val="accent5">
                  <a:shade val="90000"/>
                </a:schemeClr>
              </a:solidFill>
              <a:ln w="19050">
                <a:solidFill>
                  <a:schemeClr val="lt1"/>
                </a:solidFill>
              </a:ln>
              <a:effectLst/>
            </c:spPr>
            <c:extLst>
              <c:ext xmlns:c16="http://schemas.microsoft.com/office/drawing/2014/chart" uri="{C3380CC4-5D6E-409C-BE32-E72D297353CC}">
                <c16:uniqueId val="{00000007-6B33-4F45-873A-00AF5FF30C91}"/>
              </c:ext>
            </c:extLst>
          </c:dPt>
          <c:dPt>
            <c:idx val="4"/>
            <c:bubble3D val="0"/>
            <c:spPr>
              <a:solidFill>
                <a:schemeClr val="accent5">
                  <a:shade val="70000"/>
                </a:schemeClr>
              </a:solidFill>
              <a:ln w="19050">
                <a:solidFill>
                  <a:schemeClr val="lt1"/>
                </a:solidFill>
              </a:ln>
              <a:effectLst/>
            </c:spPr>
            <c:extLst>
              <c:ext xmlns:c16="http://schemas.microsoft.com/office/drawing/2014/chart" uri="{C3380CC4-5D6E-409C-BE32-E72D297353CC}">
                <c16:uniqueId val="{00000009-6B33-4F45-873A-00AF5FF30C91}"/>
              </c:ext>
            </c:extLst>
          </c:dPt>
          <c:dPt>
            <c:idx val="5"/>
            <c:bubble3D val="0"/>
            <c:spPr>
              <a:solidFill>
                <a:schemeClr val="accent5">
                  <a:shade val="50000"/>
                </a:schemeClr>
              </a:solidFill>
              <a:ln w="19050">
                <a:solidFill>
                  <a:schemeClr val="lt1"/>
                </a:solidFill>
              </a:ln>
              <a:effectLst/>
            </c:spPr>
            <c:extLst>
              <c:ext xmlns:c16="http://schemas.microsoft.com/office/drawing/2014/chart" uri="{C3380CC4-5D6E-409C-BE32-E72D297353CC}">
                <c16:uniqueId val="{0000000B-6B33-4F45-873A-00AF5FF30C91}"/>
              </c:ext>
            </c:extLst>
          </c:dPt>
          <c:dLbls>
            <c:dLbl>
              <c:idx val="0"/>
              <c:layout>
                <c:manualLayout>
                  <c:x val="0.13930348258706468"/>
                  <c:y val="0.13888888888888881"/>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B33-4F45-873A-00AF5FF30C91}"/>
                </c:ext>
              </c:extLst>
            </c:dLbl>
            <c:dLbl>
              <c:idx val="1"/>
              <c:layout>
                <c:manualLayout>
                  <c:x val="-0.16417910447761194"/>
                  <c:y val="0.1296296296296296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B33-4F45-873A-00AF5FF30C91}"/>
                </c:ext>
              </c:extLst>
            </c:dLbl>
            <c:dLbl>
              <c:idx val="2"/>
              <c:layout>
                <c:manualLayout>
                  <c:x val="-0.18407960199004975"/>
                  <c:y val="-8.3333333333333329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B33-4F45-873A-00AF5FF30C91}"/>
                </c:ext>
              </c:extLst>
            </c:dLbl>
            <c:dLbl>
              <c:idx val="3"/>
              <c:layout>
                <c:manualLayout>
                  <c:x val="-0.20895522388059701"/>
                  <c:y val="-0.12962962962962965"/>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6B33-4F45-873A-00AF5FF30C91}"/>
                </c:ext>
              </c:extLst>
            </c:dLbl>
            <c:dLbl>
              <c:idx val="4"/>
              <c:layout>
                <c:manualLayout>
                  <c:x val="-5.4726368159204022E-2"/>
                  <c:y val="-0.15277777777777779"/>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B33-4F45-873A-00AF5FF30C91}"/>
                </c:ext>
              </c:extLst>
            </c:dLbl>
            <c:dLbl>
              <c:idx val="5"/>
              <c:layout>
                <c:manualLayout>
                  <c:x val="0.17910447761194029"/>
                  <c:y val="-0.12500000000000003"/>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B-6B33-4F45-873A-00AF5FF30C9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PIVOTS!$A$2:$A$8</c:f>
              <c:strCache>
                <c:ptCount val="6"/>
                <c:pt idx="0">
                  <c:v>7a</c:v>
                </c:pt>
                <c:pt idx="1">
                  <c:v>7a+</c:v>
                </c:pt>
                <c:pt idx="2">
                  <c:v>7b</c:v>
                </c:pt>
                <c:pt idx="3">
                  <c:v>7b+</c:v>
                </c:pt>
                <c:pt idx="4">
                  <c:v>7c</c:v>
                </c:pt>
                <c:pt idx="5">
                  <c:v>7c+</c:v>
                </c:pt>
              </c:strCache>
            </c:strRef>
          </c:cat>
          <c:val>
            <c:numRef>
              <c:f>PIVOTS!$B$2:$B$8</c:f>
              <c:numCache>
                <c:formatCode>General</c:formatCode>
                <c:ptCount val="6"/>
                <c:pt idx="0">
                  <c:v>86</c:v>
                </c:pt>
                <c:pt idx="1">
                  <c:v>41</c:v>
                </c:pt>
                <c:pt idx="2">
                  <c:v>17</c:v>
                </c:pt>
                <c:pt idx="3">
                  <c:v>10</c:v>
                </c:pt>
                <c:pt idx="4">
                  <c:v>2</c:v>
                </c:pt>
                <c:pt idx="5">
                  <c:v>1</c:v>
                </c:pt>
              </c:numCache>
            </c:numRef>
          </c:val>
          <c:extLst>
            <c:ext xmlns:c16="http://schemas.microsoft.com/office/drawing/2014/chart" uri="{C3380CC4-5D6E-409C-BE32-E72D297353CC}">
              <c16:uniqueId val="{0000000C-6B33-4F45-873A-00AF5FF30C91}"/>
            </c:ext>
          </c:extLst>
        </c:ser>
        <c:dLbls>
          <c:showLegendKey val="0"/>
          <c:showVal val="1"/>
          <c:showCatName val="0"/>
          <c:showSerName val="0"/>
          <c:showPercent val="0"/>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[Sport climbing data and dashboard.xlsx]PIVOTS!PivotTable6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HEIGHT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PIVOTS!$B$11</c:f>
              <c:strCache>
                <c:ptCount val="1"/>
                <c:pt idx="0">
                  <c:v>Total</c:v>
                </c:pt>
              </c:strCache>
            </c:strRef>
          </c:tx>
          <c:spPr>
            <a:solidFill>
              <a:srgbClr val="0070C0"/>
            </a:solidFill>
            <a:ln>
              <a:noFill/>
            </a:ln>
            <a:effectLst/>
          </c:spPr>
          <c:invertIfNegative val="0"/>
          <c:cat>
            <c:strRef>
              <c:f>PIVOTS!$A$12:$A$18</c:f>
              <c:strCache>
                <c:ptCount val="6"/>
                <c:pt idx="0">
                  <c:v>10-14</c:v>
                </c:pt>
                <c:pt idx="1">
                  <c:v>15-19</c:v>
                </c:pt>
                <c:pt idx="2">
                  <c:v>20-24</c:v>
                </c:pt>
                <c:pt idx="3">
                  <c:v>25-29</c:v>
                </c:pt>
                <c:pt idx="4">
                  <c:v>30-34</c:v>
                </c:pt>
                <c:pt idx="5">
                  <c:v>35+</c:v>
                </c:pt>
              </c:strCache>
            </c:strRef>
          </c:cat>
          <c:val>
            <c:numRef>
              <c:f>PIVOTS!$B$12:$B$18</c:f>
              <c:numCache>
                <c:formatCode>General</c:formatCode>
                <c:ptCount val="6"/>
                <c:pt idx="0">
                  <c:v>14</c:v>
                </c:pt>
                <c:pt idx="1">
                  <c:v>32</c:v>
                </c:pt>
                <c:pt idx="2">
                  <c:v>37</c:v>
                </c:pt>
                <c:pt idx="3">
                  <c:v>46</c:v>
                </c:pt>
                <c:pt idx="4">
                  <c:v>20</c:v>
                </c:pt>
                <c:pt idx="5">
                  <c:v>8</c:v>
                </c:pt>
              </c:numCache>
            </c:numRef>
          </c:val>
          <c:extLst>
            <c:ext xmlns:c16="http://schemas.microsoft.com/office/drawing/2014/chart" uri="{C3380CC4-5D6E-409C-BE32-E72D297353CC}">
              <c16:uniqueId val="{00000000-5739-43F3-87B1-E0C0AEB0BE3B}"/>
            </c:ext>
          </c:extLst>
        </c:ser>
        <c:dLbls>
          <c:showLegendKey val="0"/>
          <c:showVal val="0"/>
          <c:showCatName val="0"/>
          <c:showSerName val="0"/>
          <c:showPercent val="0"/>
          <c:showBubbleSize val="0"/>
        </c:dLbls>
        <c:gapWidth val="75"/>
        <c:axId val="1978030256"/>
        <c:axId val="1979940416"/>
      </c:barChart>
      <c:catAx>
        <c:axId val="1978030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9940416"/>
        <c:crosses val="autoZero"/>
        <c:auto val="1"/>
        <c:lblAlgn val="ctr"/>
        <c:lblOffset val="100"/>
        <c:noMultiLvlLbl val="0"/>
      </c:catAx>
      <c:valAx>
        <c:axId val="19799404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80302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7">
  <a:schemeClr val="accent4"/>
</cs:colorStyle>
</file>

<file path=xl/charts/colors4.xml><?xml version="1.0" encoding="utf-8"?>
<cs:colorStyle xmlns:cs="http://schemas.microsoft.com/office/drawing/2012/chartStyle" xmlns:a="http://schemas.openxmlformats.org/drawingml/2006/main" meth="withinLinearReversed" id="26">
  <a:schemeClr val="accent6"/>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Reversed" id="25">
  <a:schemeClr val="accent5"/>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25</xdr:col>
      <xdr:colOff>472109</xdr:colOff>
      <xdr:row>3</xdr:row>
      <xdr:rowOff>115956</xdr:rowOff>
    </xdr:to>
    <xdr:sp macro="" textlink="">
      <xdr:nvSpPr>
        <xdr:cNvPr id="2" name="Rectangle 1">
          <a:extLst>
            <a:ext uri="{FF2B5EF4-FFF2-40B4-BE49-F238E27FC236}">
              <a16:creationId xmlns:a16="http://schemas.microsoft.com/office/drawing/2014/main" id="{1E9B1C76-DF67-4577-5EDA-08E2748F40D1}"/>
            </a:ext>
          </a:extLst>
        </xdr:cNvPr>
        <xdr:cNvSpPr/>
      </xdr:nvSpPr>
      <xdr:spPr bwMode="auto">
        <a:xfrm>
          <a:off x="0" y="0"/>
          <a:ext cx="15712109" cy="601731"/>
        </a:xfrm>
        <a:prstGeom prst="rect">
          <a:avLst/>
        </a:prstGeom>
        <a:solidFill>
          <a:srgbClr val="0070C0"/>
        </a:solidFill>
        <a:ln w="9525" cap="flat" cmpd="sng" algn="ctr">
          <a:solidFill>
            <a:srgbClr val="400000"/>
          </a:solidFill>
          <a:prstDash val="solid"/>
          <a:round/>
          <a:headEnd type="none" w="med" len="med"/>
          <a:tailEnd type="none" w="med" len="med"/>
        </a:ln>
        <a:effectLst/>
      </xdr:spPr>
      <xdr:txBody>
        <a:bodyPr vertOverflow="clip" wrap="square" lIns="18288" tIns="0" rIns="0" bIns="0" rtlCol="0" anchor="ctr" upright="1"/>
        <a:lstStyle/>
        <a:p>
          <a:pPr algn="l"/>
          <a:endParaRPr lang="en-AT" sz="1100"/>
        </a:p>
      </xdr:txBody>
    </xdr:sp>
    <xdr:clientData/>
  </xdr:twoCellAnchor>
  <xdr:twoCellAnchor>
    <xdr:from>
      <xdr:col>8</xdr:col>
      <xdr:colOff>81997</xdr:colOff>
      <xdr:row>0</xdr:row>
      <xdr:rowOff>9525</xdr:rowOff>
    </xdr:from>
    <xdr:to>
      <xdr:col>18</xdr:col>
      <xdr:colOff>32301</xdr:colOff>
      <xdr:row>3</xdr:row>
      <xdr:rowOff>100633</xdr:rowOff>
    </xdr:to>
    <xdr:sp macro="" textlink="">
      <xdr:nvSpPr>
        <xdr:cNvPr id="4" name="TextBox 3">
          <a:extLst>
            <a:ext uri="{FF2B5EF4-FFF2-40B4-BE49-F238E27FC236}">
              <a16:creationId xmlns:a16="http://schemas.microsoft.com/office/drawing/2014/main" id="{64573A09-B621-9968-252C-19EC733F59DC}"/>
            </a:ext>
          </a:extLst>
        </xdr:cNvPr>
        <xdr:cNvSpPr txBox="1"/>
      </xdr:nvSpPr>
      <xdr:spPr>
        <a:xfrm>
          <a:off x="4958797" y="9525"/>
          <a:ext cx="6046304" cy="5768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3200" b="1">
              <a:solidFill>
                <a:schemeClr val="bg1"/>
              </a:solidFill>
            </a:rPr>
            <a:t>SPORT CLIMBING DASHBOARD</a:t>
          </a:r>
        </a:p>
      </xdr:txBody>
    </xdr:sp>
    <xdr:clientData/>
  </xdr:twoCellAnchor>
  <xdr:twoCellAnchor>
    <xdr:from>
      <xdr:col>13</xdr:col>
      <xdr:colOff>57150</xdr:colOff>
      <xdr:row>4</xdr:row>
      <xdr:rowOff>152400</xdr:rowOff>
    </xdr:from>
    <xdr:to>
      <xdr:col>17</xdr:col>
      <xdr:colOff>180975</xdr:colOff>
      <xdr:row>21</xdr:row>
      <xdr:rowOff>142875</xdr:rowOff>
    </xdr:to>
    <xdr:graphicFrame macro="">
      <xdr:nvGraphicFramePr>
        <xdr:cNvPr id="30" name="Chart 29">
          <a:extLst>
            <a:ext uri="{FF2B5EF4-FFF2-40B4-BE49-F238E27FC236}">
              <a16:creationId xmlns:a16="http://schemas.microsoft.com/office/drawing/2014/main" id="{CAF06053-0CF7-4605-AA0B-CBCD580B00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314325</xdr:colOff>
      <xdr:row>4</xdr:row>
      <xdr:rowOff>152400</xdr:rowOff>
    </xdr:from>
    <xdr:to>
      <xdr:col>24</xdr:col>
      <xdr:colOff>66675</xdr:colOff>
      <xdr:row>21</xdr:row>
      <xdr:rowOff>142875</xdr:rowOff>
    </xdr:to>
    <xdr:graphicFrame macro="">
      <xdr:nvGraphicFramePr>
        <xdr:cNvPr id="31" name="Chart 30">
          <a:extLst>
            <a:ext uri="{FF2B5EF4-FFF2-40B4-BE49-F238E27FC236}">
              <a16:creationId xmlns:a16="http://schemas.microsoft.com/office/drawing/2014/main" id="{F118D34E-3889-49DE-824E-67ABA808AD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200026</xdr:colOff>
      <xdr:row>22</xdr:row>
      <xdr:rowOff>57150</xdr:rowOff>
    </xdr:from>
    <xdr:to>
      <xdr:col>6</xdr:col>
      <xdr:colOff>171450</xdr:colOff>
      <xdr:row>39</xdr:row>
      <xdr:rowOff>47625</xdr:rowOff>
    </xdr:to>
    <xdr:graphicFrame macro="">
      <xdr:nvGraphicFramePr>
        <xdr:cNvPr id="32" name="Chart 31">
          <a:extLst>
            <a:ext uri="{FF2B5EF4-FFF2-40B4-BE49-F238E27FC236}">
              <a16:creationId xmlns:a16="http://schemas.microsoft.com/office/drawing/2014/main" id="{823E08BB-3398-4FEA-9102-2EDCE7B105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419100</xdr:colOff>
      <xdr:row>4</xdr:row>
      <xdr:rowOff>142875</xdr:rowOff>
    </xdr:from>
    <xdr:to>
      <xdr:col>12</xdr:col>
      <xdr:colOff>571500</xdr:colOff>
      <xdr:row>21</xdr:row>
      <xdr:rowOff>133350</xdr:rowOff>
    </xdr:to>
    <xdr:graphicFrame macro="">
      <xdr:nvGraphicFramePr>
        <xdr:cNvPr id="33" name="Chart 32">
          <a:extLst>
            <a:ext uri="{FF2B5EF4-FFF2-40B4-BE49-F238E27FC236}">
              <a16:creationId xmlns:a16="http://schemas.microsoft.com/office/drawing/2014/main" id="{59939449-3C2B-4B87-BA75-EA818BFDC6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266699</xdr:colOff>
      <xdr:row>22</xdr:row>
      <xdr:rowOff>57150</xdr:rowOff>
    </xdr:from>
    <xdr:to>
      <xdr:col>12</xdr:col>
      <xdr:colOff>581024</xdr:colOff>
      <xdr:row>39</xdr:row>
      <xdr:rowOff>47625</xdr:rowOff>
    </xdr:to>
    <xdr:graphicFrame macro="">
      <xdr:nvGraphicFramePr>
        <xdr:cNvPr id="34" name="Chart 33">
          <a:extLst>
            <a:ext uri="{FF2B5EF4-FFF2-40B4-BE49-F238E27FC236}">
              <a16:creationId xmlns:a16="http://schemas.microsoft.com/office/drawing/2014/main" id="{67AAF358-4A88-4EF2-90B9-DA57A6DB84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15</xdr:col>
      <xdr:colOff>9525</xdr:colOff>
      <xdr:row>40</xdr:row>
      <xdr:rowOff>104774</xdr:rowOff>
    </xdr:from>
    <xdr:to>
      <xdr:col>24</xdr:col>
      <xdr:colOff>66675</xdr:colOff>
      <xdr:row>64</xdr:row>
      <xdr:rowOff>85725</xdr:rowOff>
    </xdr:to>
    <mc:AlternateContent xmlns:mc="http://schemas.openxmlformats.org/markup-compatibility/2006" xmlns:a14="http://schemas.microsoft.com/office/drawing/2010/main">
      <mc:Choice Requires="a14">
        <xdr:graphicFrame macro="">
          <xdr:nvGraphicFramePr>
            <xdr:cNvPr id="7" name="Belayer">
              <a:extLst>
                <a:ext uri="{FF2B5EF4-FFF2-40B4-BE49-F238E27FC236}">
                  <a16:creationId xmlns:a16="http://schemas.microsoft.com/office/drawing/2014/main" id="{EEA71A99-160A-4EBA-98ED-5A0B8B5920FE}"/>
                </a:ext>
              </a:extLst>
            </xdr:cNvPr>
            <xdr:cNvGraphicFramePr/>
          </xdr:nvGraphicFramePr>
          <xdr:xfrm>
            <a:off x="0" y="0"/>
            <a:ext cx="0" cy="0"/>
          </xdr:xfrm>
          <a:graphic>
            <a:graphicData uri="http://schemas.microsoft.com/office/drawing/2010/slicer">
              <sle:slicer xmlns:sle="http://schemas.microsoft.com/office/drawing/2010/slicer" name="Belayer"/>
            </a:graphicData>
          </a:graphic>
        </xdr:graphicFrame>
      </mc:Choice>
      <mc:Fallback xmlns="">
        <xdr:sp macro="" textlink="">
          <xdr:nvSpPr>
            <xdr:cNvPr id="0" name=""/>
            <xdr:cNvSpPr>
              <a:spLocks noTextEdit="1"/>
            </xdr:cNvSpPr>
          </xdr:nvSpPr>
          <xdr:spPr>
            <a:xfrm>
              <a:off x="9153525" y="6581774"/>
              <a:ext cx="5543550" cy="386715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352426</xdr:colOff>
      <xdr:row>40</xdr:row>
      <xdr:rowOff>114299</xdr:rowOff>
    </xdr:from>
    <xdr:to>
      <xdr:col>7</xdr:col>
      <xdr:colOff>542926</xdr:colOff>
      <xdr:row>50</xdr:row>
      <xdr:rowOff>152400</xdr:rowOff>
    </xdr:to>
    <mc:AlternateContent xmlns:mc="http://schemas.openxmlformats.org/markup-compatibility/2006" xmlns:a14="http://schemas.microsoft.com/office/drawing/2010/main">
      <mc:Choice Requires="a14">
        <xdr:graphicFrame macro="">
          <xdr:nvGraphicFramePr>
            <xdr:cNvPr id="8" name="Total number of tries">
              <a:extLst>
                <a:ext uri="{FF2B5EF4-FFF2-40B4-BE49-F238E27FC236}">
                  <a16:creationId xmlns:a16="http://schemas.microsoft.com/office/drawing/2014/main" id="{6BBBFC27-8631-4E61-8737-10FF091236E4}"/>
                </a:ext>
              </a:extLst>
            </xdr:cNvPr>
            <xdr:cNvGraphicFramePr/>
          </xdr:nvGraphicFramePr>
          <xdr:xfrm>
            <a:off x="0" y="0"/>
            <a:ext cx="0" cy="0"/>
          </xdr:xfrm>
          <a:graphic>
            <a:graphicData uri="http://schemas.microsoft.com/office/drawing/2010/slicer">
              <sle:slicer xmlns:sle="http://schemas.microsoft.com/office/drawing/2010/slicer" name="Total number of tries"/>
            </a:graphicData>
          </a:graphic>
        </xdr:graphicFrame>
      </mc:Choice>
      <mc:Fallback xmlns="">
        <xdr:sp macro="" textlink="">
          <xdr:nvSpPr>
            <xdr:cNvPr id="0" name=""/>
            <xdr:cNvSpPr>
              <a:spLocks noTextEdit="1"/>
            </xdr:cNvSpPr>
          </xdr:nvSpPr>
          <xdr:spPr>
            <a:xfrm>
              <a:off x="2790826" y="6591299"/>
              <a:ext cx="2019300" cy="165735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219075</xdr:colOff>
      <xdr:row>40</xdr:row>
      <xdr:rowOff>95250</xdr:rowOff>
    </xdr:from>
    <xdr:to>
      <xdr:col>4</xdr:col>
      <xdr:colOff>304800</xdr:colOff>
      <xdr:row>45</xdr:row>
      <xdr:rowOff>142875</xdr:rowOff>
    </xdr:to>
    <mc:AlternateContent xmlns:mc="http://schemas.openxmlformats.org/markup-compatibility/2006" xmlns:a14="http://schemas.microsoft.com/office/drawing/2010/main">
      <mc:Choice Requires="a14">
        <xdr:graphicFrame macro="">
          <xdr:nvGraphicFramePr>
            <xdr:cNvPr id="10" name="Grade">
              <a:extLst>
                <a:ext uri="{FF2B5EF4-FFF2-40B4-BE49-F238E27FC236}">
                  <a16:creationId xmlns:a16="http://schemas.microsoft.com/office/drawing/2014/main" id="{85130E2B-67A8-422B-AC5D-9EDA832CAD1B}"/>
                </a:ext>
              </a:extLst>
            </xdr:cNvPr>
            <xdr:cNvGraphicFramePr/>
          </xdr:nvGraphicFramePr>
          <xdr:xfrm>
            <a:off x="0" y="0"/>
            <a:ext cx="0" cy="0"/>
          </xdr:xfrm>
          <a:graphic>
            <a:graphicData uri="http://schemas.microsoft.com/office/drawing/2010/slicer">
              <sle:slicer xmlns:sle="http://schemas.microsoft.com/office/drawing/2010/slicer" name="Grade"/>
            </a:graphicData>
          </a:graphic>
        </xdr:graphicFrame>
      </mc:Choice>
      <mc:Fallback xmlns="">
        <xdr:sp macro="" textlink="">
          <xdr:nvSpPr>
            <xdr:cNvPr id="0" name=""/>
            <xdr:cNvSpPr>
              <a:spLocks noTextEdit="1"/>
            </xdr:cNvSpPr>
          </xdr:nvSpPr>
          <xdr:spPr>
            <a:xfrm>
              <a:off x="914400" y="6572250"/>
              <a:ext cx="1828800" cy="8572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161924</xdr:colOff>
      <xdr:row>51</xdr:row>
      <xdr:rowOff>47626</xdr:rowOff>
    </xdr:from>
    <xdr:to>
      <xdr:col>14</xdr:col>
      <xdr:colOff>514349</xdr:colOff>
      <xdr:row>64</xdr:row>
      <xdr:rowOff>85725</xdr:rowOff>
    </xdr:to>
    <mc:AlternateContent xmlns:mc="http://schemas.openxmlformats.org/markup-compatibility/2006" xmlns:a14="http://schemas.microsoft.com/office/drawing/2010/main">
      <mc:Choice Requires="a14">
        <xdr:graphicFrame macro="">
          <xdr:nvGraphicFramePr>
            <xdr:cNvPr id="11" name="Crag">
              <a:extLst>
                <a:ext uri="{FF2B5EF4-FFF2-40B4-BE49-F238E27FC236}">
                  <a16:creationId xmlns:a16="http://schemas.microsoft.com/office/drawing/2014/main" id="{8126757E-8BF2-467C-8FC0-9001F583447B}"/>
                </a:ext>
              </a:extLst>
            </xdr:cNvPr>
            <xdr:cNvGraphicFramePr/>
          </xdr:nvGraphicFramePr>
          <xdr:xfrm>
            <a:off x="0" y="0"/>
            <a:ext cx="0" cy="0"/>
          </xdr:xfrm>
          <a:graphic>
            <a:graphicData uri="http://schemas.microsoft.com/office/drawing/2010/slicer">
              <sle:slicer xmlns:sle="http://schemas.microsoft.com/office/drawing/2010/slicer" name="Crag"/>
            </a:graphicData>
          </a:graphic>
        </xdr:graphicFrame>
      </mc:Choice>
      <mc:Fallback xmlns="">
        <xdr:sp macro="" textlink="">
          <xdr:nvSpPr>
            <xdr:cNvPr id="0" name=""/>
            <xdr:cNvSpPr>
              <a:spLocks noTextEdit="1"/>
            </xdr:cNvSpPr>
          </xdr:nvSpPr>
          <xdr:spPr>
            <a:xfrm>
              <a:off x="771524" y="8305801"/>
              <a:ext cx="8277225" cy="21431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28575</xdr:colOff>
      <xdr:row>40</xdr:row>
      <xdr:rowOff>104775</xdr:rowOff>
    </xdr:from>
    <xdr:to>
      <xdr:col>11</xdr:col>
      <xdr:colOff>352425</xdr:colOff>
      <xdr:row>50</xdr:row>
      <xdr:rowOff>114300</xdr:rowOff>
    </xdr:to>
    <mc:AlternateContent xmlns:mc="http://schemas.openxmlformats.org/markup-compatibility/2006" xmlns:a14="http://schemas.microsoft.com/office/drawing/2010/main">
      <mc:Choice Requires="a14">
        <xdr:graphicFrame macro="">
          <xdr:nvGraphicFramePr>
            <xdr:cNvPr id="12" name="YEARS">
              <a:extLst>
                <a:ext uri="{FF2B5EF4-FFF2-40B4-BE49-F238E27FC236}">
                  <a16:creationId xmlns:a16="http://schemas.microsoft.com/office/drawing/2014/main" id="{B1F5F930-BF2F-4ED6-8ACE-31E8C5A8A241}"/>
                </a:ext>
              </a:extLst>
            </xdr:cNvPr>
            <xdr:cNvGraphicFramePr/>
          </xdr:nvGraphicFramePr>
          <xdr:xfrm>
            <a:off x="0" y="0"/>
            <a:ext cx="0" cy="0"/>
          </xdr:xfrm>
          <a:graphic>
            <a:graphicData uri="http://schemas.microsoft.com/office/drawing/2010/slicer">
              <sle:slicer xmlns:sle="http://schemas.microsoft.com/office/drawing/2010/slicer" name="YEARS"/>
            </a:graphicData>
          </a:graphic>
        </xdr:graphicFrame>
      </mc:Choice>
      <mc:Fallback xmlns="">
        <xdr:sp macro="" textlink="">
          <xdr:nvSpPr>
            <xdr:cNvPr id="0" name=""/>
            <xdr:cNvSpPr>
              <a:spLocks noTextEdit="1"/>
            </xdr:cNvSpPr>
          </xdr:nvSpPr>
          <xdr:spPr>
            <a:xfrm>
              <a:off x="4905375" y="6581775"/>
              <a:ext cx="2152650" cy="16287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466725</xdr:colOff>
      <xdr:row>40</xdr:row>
      <xdr:rowOff>104775</xdr:rowOff>
    </xdr:from>
    <xdr:to>
      <xdr:col>14</xdr:col>
      <xdr:colOff>485775</xdr:colOff>
      <xdr:row>50</xdr:row>
      <xdr:rowOff>152400</xdr:rowOff>
    </xdr:to>
    <mc:AlternateContent xmlns:mc="http://schemas.openxmlformats.org/markup-compatibility/2006" xmlns:a14="http://schemas.microsoft.com/office/drawing/2010/main">
      <mc:Choice Requires="a14">
        <xdr:graphicFrame macro="">
          <xdr:nvGraphicFramePr>
            <xdr:cNvPr id="14" name="Height (m)">
              <a:extLst>
                <a:ext uri="{FF2B5EF4-FFF2-40B4-BE49-F238E27FC236}">
                  <a16:creationId xmlns:a16="http://schemas.microsoft.com/office/drawing/2014/main" id="{8E4E9217-EC51-4756-B3ED-C5FF362B2900}"/>
                </a:ext>
              </a:extLst>
            </xdr:cNvPr>
            <xdr:cNvGraphicFramePr/>
          </xdr:nvGraphicFramePr>
          <xdr:xfrm>
            <a:off x="0" y="0"/>
            <a:ext cx="0" cy="0"/>
          </xdr:xfrm>
          <a:graphic>
            <a:graphicData uri="http://schemas.microsoft.com/office/drawing/2010/slicer">
              <sle:slicer xmlns:sle="http://schemas.microsoft.com/office/drawing/2010/slicer" name="Height (m)"/>
            </a:graphicData>
          </a:graphic>
        </xdr:graphicFrame>
      </mc:Choice>
      <mc:Fallback xmlns="">
        <xdr:sp macro="" textlink="">
          <xdr:nvSpPr>
            <xdr:cNvPr id="0" name=""/>
            <xdr:cNvSpPr>
              <a:spLocks noTextEdit="1"/>
            </xdr:cNvSpPr>
          </xdr:nvSpPr>
          <xdr:spPr>
            <a:xfrm>
              <a:off x="7172325" y="6581775"/>
              <a:ext cx="1847850" cy="1666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66675</xdr:colOff>
      <xdr:row>22</xdr:row>
      <xdr:rowOff>57150</xdr:rowOff>
    </xdr:from>
    <xdr:to>
      <xdr:col>18</xdr:col>
      <xdr:colOff>542925</xdr:colOff>
      <xdr:row>39</xdr:row>
      <xdr:rowOff>47625</xdr:rowOff>
    </xdr:to>
    <xdr:graphicFrame macro="">
      <xdr:nvGraphicFramePr>
        <xdr:cNvPr id="15" name="Chart 14">
          <a:extLst>
            <a:ext uri="{FF2B5EF4-FFF2-40B4-BE49-F238E27FC236}">
              <a16:creationId xmlns:a16="http://schemas.microsoft.com/office/drawing/2014/main" id="{FDF1097C-CD6C-47CC-9371-19C2EB82FA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209550</xdr:colOff>
      <xdr:row>4</xdr:row>
      <xdr:rowOff>142875</xdr:rowOff>
    </xdr:from>
    <xdr:to>
      <xdr:col>5</xdr:col>
      <xdr:colOff>323850</xdr:colOff>
      <xdr:row>21</xdr:row>
      <xdr:rowOff>133350</xdr:rowOff>
    </xdr:to>
    <xdr:graphicFrame macro="">
      <xdr:nvGraphicFramePr>
        <xdr:cNvPr id="3" name="Chart 2">
          <a:extLst>
            <a:ext uri="{FF2B5EF4-FFF2-40B4-BE49-F238E27FC236}">
              <a16:creationId xmlns:a16="http://schemas.microsoft.com/office/drawing/2014/main" id="{756429E7-F27A-46FC-B3BB-239F03A371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19</xdr:col>
      <xdr:colOff>38100</xdr:colOff>
      <xdr:row>22</xdr:row>
      <xdr:rowOff>57150</xdr:rowOff>
    </xdr:from>
    <xdr:to>
      <xdr:col>24</xdr:col>
      <xdr:colOff>47625</xdr:colOff>
      <xdr:row>39</xdr:row>
      <xdr:rowOff>47625</xdr:rowOff>
    </xdr:to>
    <xdr:graphicFrame macro="">
      <xdr:nvGraphicFramePr>
        <xdr:cNvPr id="5" name="Chart 4">
          <a:extLst>
            <a:ext uri="{FF2B5EF4-FFF2-40B4-BE49-F238E27FC236}">
              <a16:creationId xmlns:a16="http://schemas.microsoft.com/office/drawing/2014/main" id="{7BF2E903-E3E5-4578-9079-37D29AF461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édéric Malharin" refreshedDate="45244.015630092596" createdVersion="8" refreshedVersion="8" minRefreshableVersion="3" recordCount="157" xr:uid="{F4360EC5-53E3-491C-A234-FEE3550DACB2}">
  <cacheSource type="worksheet">
    <worksheetSource name="Sportclimbing"/>
  </cacheSource>
  <cacheFields count="13">
    <cacheField name="Day" numFmtId="0">
      <sharedItems containsString="0" containsBlank="1" containsNumber="1" containsInteger="1" minValue="1" maxValue="31"/>
    </cacheField>
    <cacheField name="Month" numFmtId="0">
      <sharedItems/>
    </cacheField>
    <cacheField name="Year" numFmtId="0">
      <sharedItems containsSemiMixedTypes="0" containsString="0" containsNumber="1" containsInteger="1" minValue="2006" maxValue="2023" count="14">
        <n v="2006"/>
        <n v="2007"/>
        <n v="2008"/>
        <n v="2011"/>
        <n v="2012"/>
        <n v="2013"/>
        <n v="2016"/>
        <n v="2017"/>
        <n v="2018"/>
        <n v="2019"/>
        <n v="2020"/>
        <n v="2021"/>
        <n v="2022"/>
        <n v="2023"/>
      </sharedItems>
    </cacheField>
    <cacheField name="Route name" numFmtId="0">
      <sharedItems containsBlank="1"/>
    </cacheField>
    <cacheField name="Grade" numFmtId="0">
      <sharedItems/>
    </cacheField>
    <cacheField name="Score" numFmtId="0">
      <sharedItems containsSemiMixedTypes="0" containsString="0" containsNumber="1" containsInteger="1" minValue="1" maxValue="6" count="6">
        <n v="1"/>
        <n v="2"/>
        <n v="3"/>
        <n v="4"/>
        <n v="5"/>
        <n v="6"/>
      </sharedItems>
    </cacheField>
    <cacheField name="Country" numFmtId="0">
      <sharedItems/>
    </cacheField>
    <cacheField name="Crag" numFmtId="0">
      <sharedItems/>
    </cacheField>
    <cacheField name="Sector" numFmtId="0">
      <sharedItems containsBlank="1"/>
    </cacheField>
    <cacheField name="Height (m)" numFmtId="0">
      <sharedItems containsSemiMixedTypes="0" containsString="0" containsNumber="1" containsInteger="1" minValue="10" maxValue="40"/>
    </cacheField>
    <cacheField name="Height range (m)" numFmtId="0">
      <sharedItems/>
    </cacheField>
    <cacheField name="Belayer" numFmtId="0">
      <sharedItems count="47">
        <s v="Guhlm"/>
        <s v="Thomas Bur"/>
        <s v="Teddy"/>
        <s v="Shyamal"/>
        <s v="Patrick"/>
        <s v="David Valls"/>
        <s v="Andres Villarroel"/>
        <s v="Byron"/>
        <s v="Marc Ros"/>
        <s v="Dave"/>
        <s v="Juan"/>
        <s v="Gabo"/>
        <s v="Daniel Perez"/>
        <s v="Hervé"/>
        <s v="Martyn"/>
        <s v="Henry"/>
        <s v="Yoel"/>
        <s v="Gustavo"/>
        <s v="Will"/>
        <s v="Tieme"/>
        <s v="water solo"/>
        <s v="Guy"/>
        <s v="Angel"/>
        <s v="Karla Mexicana"/>
        <s v="Pelu"/>
        <s v="Lena"/>
        <s v="Kathy"/>
        <s v="Ulises"/>
        <s v="Kat"/>
        <s v="Antonin"/>
        <s v="Inti"/>
        <s v="Laila"/>
        <s v="Lydia"/>
        <s v="Bernardo"/>
        <s v="Sean"/>
        <s v="Donald"/>
        <s v="Vittorio"/>
        <s v="Alexandre Marques"/>
        <s v="Kati Golovina"/>
        <s v="Chris Knight"/>
        <s v="Juman"/>
        <s v="Chris Awe"/>
        <s v="Natasha"/>
        <s v="Klaus Charfreitag"/>
        <s v="Tibor"/>
        <s v="Asier"/>
        <s v="Betka"/>
      </sharedItems>
    </cacheField>
    <cacheField name="Total number of tries" numFmtId="0">
      <sharedItems containsMixedTypes="1" containsNumber="1" containsInteger="1" minValue="2" maxValue="5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269.544091087962" backgroundQuery="1" createdVersion="8" refreshedVersion="8" minRefreshableVersion="3" recordCount="0" supportSubquery="1" supportAdvancedDrill="1" xr:uid="{57DE6C56-EBC5-4343-B032-5865A7A552CE}">
  <cacheSource type="external" connectionId="1"/>
  <cacheFields count="3">
    <cacheField name="[SportClimbing].[Belayer].[Belayer]" caption="Belayer" numFmtId="0" hierarchy="13" level="1">
      <sharedItems count="5">
        <s v="Chris Awe"/>
        <s v="Guy"/>
        <s v="Kathy"/>
        <s v="Lena"/>
        <s v="Yoel"/>
      </sharedItems>
    </cacheField>
    <cacheField name="[Measures].[Count of Belayer]" caption="Count of Belayer" numFmtId="0" hierarchy="20" level="32767"/>
    <cacheField name="[Years].[YEARS].[YEARS]" caption="YEARS" numFmtId="0" hierarchy="15" level="1">
      <sharedItems containsSemiMixedTypes="0" containsNonDate="0" containsString="0"/>
    </cacheField>
  </cacheFields>
  <cacheHierarchies count="21">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0" memberValueDatatype="130" unbalanced="0"/>
    <cacheHierarchy uniqueName="[MONTHS].[MONTHS 3]" caption="MONTHS 3" attribute="1" defaultMemberUniqueName="[MONTHS].[MONTHS 3].[All]" allUniqueName="[MONTHS].[MONTHS 3].[All]" dimensionUniqueName="[MONTHS]" displayFolder="" count="0" memberValueDatatype="20"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0" memberValueDatatype="130" unbalanced="0"/>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cacheHierarchy uniqueName="[SportClimbing].[Country]" caption="Country" attribute="1" defaultMemberUniqueName="[SportClimbing].[Country].[All]" allUniqueName="[SportClimbing].[Country].[All]" dimensionUniqueName="[SportClimbing]" displayFolder="" count="0" memberValueDatatype="130" unbalanced="0"/>
    <cacheHierarchy uniqueName="[SportClimbing].[Crag]" caption="Crag" attribute="1" defaultMemberUniqueName="[SportClimbing].[Crag].[All]" allUniqueName="[SportClimbing].[Crag].[All]" dimensionUniqueName="[SportClimbing]" displayFolder="" count="2" memberValueDatatype="130" unbalanced="0"/>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2" memberValueDatatype="20" unbalanced="0"/>
    <cacheHierarchy uniqueName="[SportClimbing].[Height range (m)]" caption="Height range (m)" attribute="1" defaultMemberUniqueName="[SportClimbing].[Height range (m)].[All]" allUniqueName="[SportClimbing].[Height range (m)].[All]" dimensionUniqueName="[SportClimbing]" displayFolder="" count="0" memberValueDatatype="130" unbalanced="0"/>
    <cacheHierarchy uniqueName="[SportClimbing].[Belayer]" caption="Belayer" attribute="1" defaultMemberUniqueName="[SportClimbing].[Belayer].[All]" allUniqueName="[SportClimbing].[Belayer].[All]" dimensionUniqueName="[SportClimbing]" displayFolder="" count="2" memberValueDatatype="130" unbalanced="0">
      <fieldsUsage count="2">
        <fieldUsage x="-1"/>
        <fieldUsage x="0"/>
      </fieldsUsage>
    </cacheHierarchy>
    <cacheHierarchy uniqueName="[SportClimbing].[Total number of tries]" caption="Total number of tries" attribute="1" defaultMemberUniqueName="[SportClimbing].[Total number of tries].[All]" allUniqueName="[SportClimbing].[Total number of tries].[All]" dimensionUniqueName="[SportClimbing]" displayFolder="" count="2" memberValueDatatype="130" unbalanced="0"/>
    <cacheHierarchy uniqueName="[Years].[YEARS]" caption="YEARS" attribute="1" defaultMemberUniqueName="[Years].[YEARS].[All]" allUniqueName="[Years].[YEARS].[All]" dimensionUniqueName="[Years]" displayFolder="" count="2" memberValueDatatype="20" unbalanced="0">
      <fieldsUsage count="2">
        <fieldUsage x="-1"/>
        <fieldUsage x="2"/>
      </fieldsUsage>
    </cacheHierarchy>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No measures defined]" caption="__No measures defined" measure="1" displayFolder="" count="0" hidden="1"/>
    <cacheHierarchy uniqueName="[Measures].[Count of Belayer]" caption="Count of Belayer" measure="1" displayFolder="" measureGroup="SportClimbing" count="0" oneField="1" hidden="1">
      <fieldsUsage count="1">
        <fieldUsage x="1"/>
      </fieldsUsage>
      <extLst>
        <ext xmlns:x15="http://schemas.microsoft.com/office/spreadsheetml/2010/11/main" uri="{B97F6D7D-B522-45F9-BDA1-12C45D357490}">
          <x15:cacheHierarchy aggregatedColumn="13"/>
        </ext>
      </extLst>
    </cacheHierarchy>
  </cacheHierarchies>
  <kpis count="0"/>
  <dimensions count="4">
    <dimension measure="1" name="Measures" uniqueName="[Measures]" caption="Measures"/>
    <dimension name="MONTHS" uniqueName="[MONTHS]" caption="MONTHS"/>
    <dimension name="SportClimbing" uniqueName="[SportClimbing]" caption="SportClimbing"/>
    <dimension name="Years" uniqueName="[Years]" caption="Years"/>
  </dimensions>
  <measureGroups count="3">
    <measureGroup name="MONTHS" caption="MONTHS"/>
    <measureGroup name="SportClimbing" caption="SportClimbing"/>
    <measureGroup name="Years" caption="Years"/>
  </measureGroups>
  <maps count="5">
    <map measureGroup="0" dimension="1"/>
    <map measureGroup="1" dimension="1"/>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269.544091550924" backgroundQuery="1" createdVersion="8" refreshedVersion="8" minRefreshableVersion="3" recordCount="0" supportSubquery="1" supportAdvancedDrill="1" xr:uid="{1F882D17-6359-4C52-A0EF-F535B1A5BB4A}">
  <cacheSource type="external" connectionId="1"/>
  <cacheFields count="2">
    <cacheField name="[Measures].[Count of Belayer]" caption="Count of Belayer" numFmtId="0" hierarchy="20" level="32767"/>
    <cacheField name="[Years].[YEARS].[YEARS]" caption="YEARS" numFmtId="0" hierarchy="15" level="1">
      <sharedItems containsSemiMixedTypes="0" containsString="0" containsNumber="1" containsInteger="1" minValue="2006" maxValue="2023" count="18">
        <n v="2006"/>
        <n v="2007"/>
        <n v="2008"/>
        <n v="2009"/>
        <n v="2010"/>
        <n v="2011"/>
        <n v="2012"/>
        <n v="2013"/>
        <n v="2014"/>
        <n v="2015"/>
        <n v="2016"/>
        <n v="2017"/>
        <n v="2018"/>
        <n v="2019"/>
        <n v="2020"/>
        <n v="2021"/>
        <n v="2022"/>
        <n v="2023"/>
      </sharedItems>
      <extLst>
        <ext xmlns:x15="http://schemas.microsoft.com/office/spreadsheetml/2010/11/main" uri="{4F2E5C28-24EA-4eb8-9CBF-B6C8F9C3D259}">
          <x15:cachedUniqueNames>
            <x15:cachedUniqueName index="0" name="[Years].[YEARS].&amp;[2006]"/>
            <x15:cachedUniqueName index="1" name="[Years].[YEARS].&amp;[2007]"/>
            <x15:cachedUniqueName index="2" name="[Years].[YEARS].&amp;[2008]"/>
            <x15:cachedUniqueName index="3" name="[Years].[YEARS].&amp;[2009]"/>
            <x15:cachedUniqueName index="4" name="[Years].[YEARS].&amp;[2010]"/>
            <x15:cachedUniqueName index="5" name="[Years].[YEARS].&amp;[2011]"/>
            <x15:cachedUniqueName index="6" name="[Years].[YEARS].&amp;[2012]"/>
            <x15:cachedUniqueName index="7" name="[Years].[YEARS].&amp;[2013]"/>
            <x15:cachedUniqueName index="8" name="[Years].[YEARS].&amp;[2014]"/>
            <x15:cachedUniqueName index="9" name="[Years].[YEARS].&amp;[2015]"/>
            <x15:cachedUniqueName index="10" name="[Years].[YEARS].&amp;[2016]"/>
            <x15:cachedUniqueName index="11" name="[Years].[YEARS].&amp;[2017]"/>
            <x15:cachedUniqueName index="12" name="[Years].[YEARS].&amp;[2018]"/>
            <x15:cachedUniqueName index="13" name="[Years].[YEARS].&amp;[2019]"/>
            <x15:cachedUniqueName index="14" name="[Years].[YEARS].&amp;[2020]"/>
            <x15:cachedUniqueName index="15" name="[Years].[YEARS].&amp;[2021]"/>
            <x15:cachedUniqueName index="16" name="[Years].[YEARS].&amp;[2022]"/>
            <x15:cachedUniqueName index="17" name="[Years].[YEARS].&amp;[2023]"/>
          </x15:cachedUniqueNames>
        </ext>
      </extLst>
    </cacheField>
  </cacheFields>
  <cacheHierarchies count="21">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0" memberValueDatatype="130" unbalanced="0"/>
    <cacheHierarchy uniqueName="[MONTHS].[MONTHS 3]" caption="MONTHS 3" attribute="1" defaultMemberUniqueName="[MONTHS].[MONTHS 3].[All]" allUniqueName="[MONTHS].[MONTHS 3].[All]" dimensionUniqueName="[MONTHS]" displayFolder="" count="0" memberValueDatatype="20"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0" memberValueDatatype="130" unbalanced="0"/>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cacheHierarchy uniqueName="[SportClimbing].[Country]" caption="Country" attribute="1" defaultMemberUniqueName="[SportClimbing].[Country].[All]" allUniqueName="[SportClimbing].[Country].[All]" dimensionUniqueName="[SportClimbing]" displayFolder="" count="0" memberValueDatatype="130" unbalanced="0"/>
    <cacheHierarchy uniqueName="[SportClimbing].[Crag]" caption="Crag" attribute="1" defaultMemberUniqueName="[SportClimbing].[Crag].[All]" allUniqueName="[SportClimbing].[Crag].[All]" dimensionUniqueName="[SportClimbing]" displayFolder="" count="2" memberValueDatatype="130" unbalanced="0"/>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2" memberValueDatatype="20" unbalanced="0"/>
    <cacheHierarchy uniqueName="[SportClimbing].[Height range (m)]" caption="Height range (m)" attribute="1" defaultMemberUniqueName="[SportClimbing].[Height range (m)].[All]" allUniqueName="[SportClimbing].[Height range (m)].[All]" dimensionUniqueName="[SportClimbing]" displayFolder="" count="0" memberValueDatatype="130" unbalanced="0"/>
    <cacheHierarchy uniqueName="[SportClimbing].[Belayer]" caption="Belayer" attribute="1" defaultMemberUniqueName="[SportClimbing].[Belayer].[All]" allUniqueName="[SportClimbing].[Belayer].[All]" dimensionUniqueName="[SportClimbing]" displayFolder="" count="2" memberValueDatatype="130" unbalanced="0"/>
    <cacheHierarchy uniqueName="[SportClimbing].[Total number of tries]" caption="Total number of tries" attribute="1" defaultMemberUniqueName="[SportClimbing].[Total number of tries].[All]" allUniqueName="[SportClimbing].[Total number of tries].[All]" dimensionUniqueName="[SportClimbing]" displayFolder="" count="2" memberValueDatatype="130" unbalanced="0"/>
    <cacheHierarchy uniqueName="[Years].[YEARS]" caption="YEARS" attribute="1" defaultMemberUniqueName="[Years].[YEARS].[All]" allUniqueName="[Years].[YEARS].[All]" dimensionUniqueName="[Years]" displayFolder="" count="2" memberValueDatatype="20" unbalanced="0">
      <fieldsUsage count="2">
        <fieldUsage x="-1"/>
        <fieldUsage x="1"/>
      </fieldsUsage>
    </cacheHierarchy>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No measures defined]" caption="__No measures defined" measure="1" displayFolder="" count="0" hidden="1"/>
    <cacheHierarchy uniqueName="[Measures].[Count of Belayer]" caption="Count of Belayer" measure="1" displayFolder="" measureGroup="SportClimbing" count="0" oneField="1" hidden="1">
      <fieldsUsage count="1">
        <fieldUsage x="0"/>
      </fieldsUsage>
      <extLst>
        <ext xmlns:x15="http://schemas.microsoft.com/office/spreadsheetml/2010/11/main" uri="{B97F6D7D-B522-45F9-BDA1-12C45D357490}">
          <x15:cacheHierarchy aggregatedColumn="13"/>
        </ext>
      </extLst>
    </cacheHierarchy>
  </cacheHierarchies>
  <kpis count="0"/>
  <dimensions count="4">
    <dimension measure="1" name="Measures" uniqueName="[Measures]" caption="Measures"/>
    <dimension name="MONTHS" uniqueName="[MONTHS]" caption="MONTHS"/>
    <dimension name="SportClimbing" uniqueName="[SportClimbing]" caption="SportClimbing"/>
    <dimension name="Years" uniqueName="[Years]" caption="Years"/>
  </dimensions>
  <measureGroups count="3">
    <measureGroup name="MONTHS" caption="MONTHS"/>
    <measureGroup name="SportClimbing" caption="SportClimbing"/>
    <measureGroup name="Years" caption="Years"/>
  </measureGroups>
  <maps count="5">
    <map measureGroup="0" dimension="1"/>
    <map measureGroup="1" dimension="1"/>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269.544092013886" backgroundQuery="1" createdVersion="8" refreshedVersion="8" minRefreshableVersion="3" recordCount="0" supportSubquery="1" supportAdvancedDrill="1" xr:uid="{DBD749E6-8D70-41D8-A8CC-84C599EC1F06}">
  <cacheSource type="external" connectionId="1"/>
  <cacheFields count="4">
    <cacheField name="[Measures].[Count of Belayer]" caption="Count of Belayer" numFmtId="0" hierarchy="20" level="32767"/>
    <cacheField name="[SportClimbing].[Month].[Month]" caption="Month" numFmtId="0" hierarchy="4" level="1">
      <sharedItems count="12">
        <s v="Apr"/>
        <s v="Aug"/>
        <s v="Dec"/>
        <s v="Feb"/>
        <s v="Jan"/>
        <s v="Jul"/>
        <s v="Jun"/>
        <s v="Mar"/>
        <s v="May"/>
        <s v="Nov"/>
        <s v="Oct"/>
        <s v="Sep"/>
      </sharedItems>
    </cacheField>
    <cacheField name="[MONTHS].[MONTHS 2].[MONTHS 2]" caption="MONTHS 2" numFmtId="0" hierarchy="1" level="1">
      <sharedItems count="12">
        <s v="Jan"/>
        <s v="Feb"/>
        <s v="Mar"/>
        <s v="Apr"/>
        <s v="May"/>
        <s v="Jun"/>
        <s v="Jul"/>
        <s v="Aug"/>
        <s v="Sep"/>
        <s v="Oct"/>
        <s v="Nov"/>
        <s v="Dec"/>
      </sharedItems>
    </cacheField>
    <cacheField name="[Years].[YEARS].[YEARS]" caption="YEARS" numFmtId="0" hierarchy="15" level="1">
      <sharedItems containsSemiMixedTypes="0" containsNonDate="0" containsString="0"/>
    </cacheField>
  </cacheFields>
  <cacheHierarchies count="21">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2" memberValueDatatype="130" unbalanced="0">
      <fieldsUsage count="2">
        <fieldUsage x="-1"/>
        <fieldUsage x="2"/>
      </fieldsUsage>
    </cacheHierarchy>
    <cacheHierarchy uniqueName="[MONTHS].[MONTHS 3]" caption="MONTHS 3" attribute="1" defaultMemberUniqueName="[MONTHS].[MONTHS 3].[All]" allUniqueName="[MONTHS].[MONTHS 3].[All]" dimensionUniqueName="[MONTHS]" displayFolder="" count="0" memberValueDatatype="20"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2" memberValueDatatype="130" unbalanced="0">
      <fieldsUsage count="2">
        <fieldUsage x="-1"/>
        <fieldUsage x="1"/>
      </fieldsUsage>
    </cacheHierarchy>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cacheHierarchy uniqueName="[SportClimbing].[Country]" caption="Country" attribute="1" defaultMemberUniqueName="[SportClimbing].[Country].[All]" allUniqueName="[SportClimbing].[Country].[All]" dimensionUniqueName="[SportClimbing]" displayFolder="" count="0" memberValueDatatype="130" unbalanced="0"/>
    <cacheHierarchy uniqueName="[SportClimbing].[Crag]" caption="Crag" attribute="1" defaultMemberUniqueName="[SportClimbing].[Crag].[All]" allUniqueName="[SportClimbing].[Crag].[All]" dimensionUniqueName="[SportClimbing]" displayFolder="" count="2" memberValueDatatype="130" unbalanced="0"/>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2" memberValueDatatype="20" unbalanced="0"/>
    <cacheHierarchy uniqueName="[SportClimbing].[Height range (m)]" caption="Height range (m)" attribute="1" defaultMemberUniqueName="[SportClimbing].[Height range (m)].[All]" allUniqueName="[SportClimbing].[Height range (m)].[All]" dimensionUniqueName="[SportClimbing]" displayFolder="" count="0" memberValueDatatype="130" unbalanced="0"/>
    <cacheHierarchy uniqueName="[SportClimbing].[Belayer]" caption="Belayer" attribute="1" defaultMemberUniqueName="[SportClimbing].[Belayer].[All]" allUniqueName="[SportClimbing].[Belayer].[All]" dimensionUniqueName="[SportClimbing]" displayFolder="" count="2" memberValueDatatype="130" unbalanced="0"/>
    <cacheHierarchy uniqueName="[SportClimbing].[Total number of tries]" caption="Total number of tries" attribute="1" defaultMemberUniqueName="[SportClimbing].[Total number of tries].[All]" allUniqueName="[SportClimbing].[Total number of tries].[All]" dimensionUniqueName="[SportClimbing]" displayFolder="" count="2" memberValueDatatype="130" unbalanced="0"/>
    <cacheHierarchy uniqueName="[Years].[YEARS]" caption="YEARS" attribute="1" defaultMemberUniqueName="[Years].[YEARS].[All]" allUniqueName="[Years].[YEARS].[All]" dimensionUniqueName="[Years]" displayFolder="" count="2" memberValueDatatype="20" unbalanced="0">
      <fieldsUsage count="2">
        <fieldUsage x="-1"/>
        <fieldUsage x="3"/>
      </fieldsUsage>
    </cacheHierarchy>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No measures defined]" caption="__No measures defined" measure="1" displayFolder="" count="0" hidden="1"/>
    <cacheHierarchy uniqueName="[Measures].[Count of Belayer]" caption="Count of Belayer" measure="1" displayFolder="" measureGroup="SportClimbing" count="0" oneField="1" hidden="1">
      <fieldsUsage count="1">
        <fieldUsage x="0"/>
      </fieldsUsage>
      <extLst>
        <ext xmlns:x15="http://schemas.microsoft.com/office/spreadsheetml/2010/11/main" uri="{B97F6D7D-B522-45F9-BDA1-12C45D357490}">
          <x15:cacheHierarchy aggregatedColumn="13"/>
        </ext>
      </extLst>
    </cacheHierarchy>
  </cacheHierarchies>
  <kpis count="0"/>
  <dimensions count="4">
    <dimension measure="1" name="Measures" uniqueName="[Measures]" caption="Measures"/>
    <dimension name="MONTHS" uniqueName="[MONTHS]" caption="MONTHS"/>
    <dimension name="SportClimbing" uniqueName="[SportClimbing]" caption="SportClimbing"/>
    <dimension name="Years" uniqueName="[Years]" caption="Years"/>
  </dimensions>
  <measureGroups count="3">
    <measureGroup name="MONTHS" caption="MONTHS"/>
    <measureGroup name="SportClimbing" caption="SportClimbing"/>
    <measureGroup name="Years" caption="Years"/>
  </measureGroups>
  <maps count="5">
    <map measureGroup="0" dimension="1"/>
    <map measureGroup="1" dimension="1"/>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269.54409236111" backgroundQuery="1" createdVersion="8" refreshedVersion="8" minRefreshableVersion="3" recordCount="0" supportSubquery="1" supportAdvancedDrill="1" xr:uid="{7CC608A1-3AC3-47C8-874D-083349D65011}">
  <cacheSource type="external" connectionId="1"/>
  <cacheFields count="3">
    <cacheField name="[SportClimbing].[Crag].[Crag]" caption="Crag" numFmtId="0" hierarchy="9" level="1">
      <sharedItems count="10">
        <s v="Arbolí"/>
        <s v="Chulilla"/>
        <s v="Font Soleia"/>
        <s v="Garraf"/>
        <s v="Gelida"/>
        <s v="Grau dels matxos"/>
        <s v="Mallorca"/>
        <s v="Margalef"/>
        <s v="Martinswand"/>
        <s v="Siurana"/>
      </sharedItems>
    </cacheField>
    <cacheField name="[Measures].[Count of Belayer]" caption="Count of Belayer" numFmtId="0" hierarchy="20" level="32767"/>
    <cacheField name="[Years].[YEARS].[YEARS]" caption="YEARS" numFmtId="0" hierarchy="15" level="1">
      <sharedItems containsSemiMixedTypes="0" containsNonDate="0" containsString="0"/>
    </cacheField>
  </cacheFields>
  <cacheHierarchies count="21">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0" memberValueDatatype="130" unbalanced="0"/>
    <cacheHierarchy uniqueName="[MONTHS].[MONTHS 3]" caption="MONTHS 3" attribute="1" defaultMemberUniqueName="[MONTHS].[MONTHS 3].[All]" allUniqueName="[MONTHS].[MONTHS 3].[All]" dimensionUniqueName="[MONTHS]" displayFolder="" count="0" memberValueDatatype="20"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0" memberValueDatatype="130" unbalanced="0"/>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cacheHierarchy uniqueName="[SportClimbing].[Country]" caption="Country" attribute="1" defaultMemberUniqueName="[SportClimbing].[Country].[All]" allUniqueName="[SportClimbing].[Country].[All]" dimensionUniqueName="[SportClimbing]" displayFolder="" count="0" memberValueDatatype="130" unbalanced="0"/>
    <cacheHierarchy uniqueName="[SportClimbing].[Crag]" caption="Crag" attribute="1" defaultMemberUniqueName="[SportClimbing].[Crag].[All]" allUniqueName="[SportClimbing].[Crag].[All]" dimensionUniqueName="[SportClimbing]" displayFolder="" count="2" memberValueDatatype="130" unbalanced="0">
      <fieldsUsage count="2">
        <fieldUsage x="-1"/>
        <fieldUsage x="0"/>
      </fieldsUsage>
    </cacheHierarchy>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2" memberValueDatatype="20" unbalanced="0"/>
    <cacheHierarchy uniqueName="[SportClimbing].[Height range (m)]" caption="Height range (m)" attribute="1" defaultMemberUniqueName="[SportClimbing].[Height range (m)].[All]" allUniqueName="[SportClimbing].[Height range (m)].[All]" dimensionUniqueName="[SportClimbing]" displayFolder="" count="0" memberValueDatatype="130" unbalanced="0"/>
    <cacheHierarchy uniqueName="[SportClimbing].[Belayer]" caption="Belayer" attribute="1" defaultMemberUniqueName="[SportClimbing].[Belayer].[All]" allUniqueName="[SportClimbing].[Belayer].[All]" dimensionUniqueName="[SportClimbing]" displayFolder="" count="2" memberValueDatatype="130" unbalanced="0"/>
    <cacheHierarchy uniqueName="[SportClimbing].[Total number of tries]" caption="Total number of tries" attribute="1" defaultMemberUniqueName="[SportClimbing].[Total number of tries].[All]" allUniqueName="[SportClimbing].[Total number of tries].[All]" dimensionUniqueName="[SportClimbing]" displayFolder="" count="2" memberValueDatatype="130" unbalanced="0"/>
    <cacheHierarchy uniqueName="[Years].[YEARS]" caption="YEARS" attribute="1" defaultMemberUniqueName="[Years].[YEARS].[All]" allUniqueName="[Years].[YEARS].[All]" dimensionUniqueName="[Years]" displayFolder="" count="2" memberValueDatatype="20" unbalanced="0">
      <fieldsUsage count="2">
        <fieldUsage x="-1"/>
        <fieldUsage x="2"/>
      </fieldsUsage>
    </cacheHierarchy>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No measures defined]" caption="__No measures defined" measure="1" displayFolder="" count="0" hidden="1"/>
    <cacheHierarchy uniqueName="[Measures].[Count of Belayer]" caption="Count of Belayer" measure="1" displayFolder="" measureGroup="SportClimbing" count="0" oneField="1" hidden="1">
      <fieldsUsage count="1">
        <fieldUsage x="1"/>
      </fieldsUsage>
      <extLst>
        <ext xmlns:x15="http://schemas.microsoft.com/office/spreadsheetml/2010/11/main" uri="{B97F6D7D-B522-45F9-BDA1-12C45D357490}">
          <x15:cacheHierarchy aggregatedColumn="13"/>
        </ext>
      </extLst>
    </cacheHierarchy>
  </cacheHierarchies>
  <kpis count="0"/>
  <dimensions count="4">
    <dimension measure="1" name="Measures" uniqueName="[Measures]" caption="Measures"/>
    <dimension name="MONTHS" uniqueName="[MONTHS]" caption="MONTHS"/>
    <dimension name="SportClimbing" uniqueName="[SportClimbing]" caption="SportClimbing"/>
    <dimension name="Years" uniqueName="[Years]" caption="Years"/>
  </dimensions>
  <measureGroups count="3">
    <measureGroup name="MONTHS" caption="MONTHS"/>
    <measureGroup name="SportClimbing" caption="SportClimbing"/>
    <measureGroup name="Years" caption="Years"/>
  </measureGroups>
  <maps count="5">
    <map measureGroup="0" dimension="1"/>
    <map measureGroup="1" dimension="1"/>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269.544092708333" backgroundQuery="1" createdVersion="8" refreshedVersion="8" minRefreshableVersion="3" recordCount="0" supportSubquery="1" supportAdvancedDrill="1" xr:uid="{20807ACE-EF13-49B7-9C50-6151DA6E539D}">
  <cacheSource type="external" connectionId="1"/>
  <cacheFields count="3">
    <cacheField name="[SportClimbing].[Country].[Country]" caption="Country" numFmtId="0" hierarchy="8" level="1">
      <sharedItems count="5">
        <s v="Austria"/>
        <s v="France"/>
        <s v="Italy"/>
        <s v="Portugal"/>
        <s v="Spain"/>
      </sharedItems>
    </cacheField>
    <cacheField name="[Measures].[Count of Belayer]" caption="Count of Belayer" numFmtId="0" hierarchy="20" level="32767"/>
    <cacheField name="[Years].[YEARS].[YEARS]" caption="YEARS" numFmtId="0" hierarchy="15" level="1">
      <sharedItems containsSemiMixedTypes="0" containsNonDate="0" containsString="0"/>
    </cacheField>
  </cacheFields>
  <cacheHierarchies count="21">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0" memberValueDatatype="130" unbalanced="0"/>
    <cacheHierarchy uniqueName="[MONTHS].[MONTHS 3]" caption="MONTHS 3" attribute="1" defaultMemberUniqueName="[MONTHS].[MONTHS 3].[All]" allUniqueName="[MONTHS].[MONTHS 3].[All]" dimensionUniqueName="[MONTHS]" displayFolder="" count="0" memberValueDatatype="20"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0" memberValueDatatype="130" unbalanced="0"/>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cacheHierarchy uniqueName="[SportClimbing].[Country]" caption="Country" attribute="1" defaultMemberUniqueName="[SportClimbing].[Country].[All]" allUniqueName="[SportClimbing].[Country].[All]" dimensionUniqueName="[SportClimbing]" displayFolder="" count="2" memberValueDatatype="130" unbalanced="0">
      <fieldsUsage count="2">
        <fieldUsage x="-1"/>
        <fieldUsage x="0"/>
      </fieldsUsage>
    </cacheHierarchy>
    <cacheHierarchy uniqueName="[SportClimbing].[Crag]" caption="Crag" attribute="1" defaultMemberUniqueName="[SportClimbing].[Crag].[All]" allUniqueName="[SportClimbing].[Crag].[All]" dimensionUniqueName="[SportClimbing]" displayFolder="" count="2" memberValueDatatype="130" unbalanced="0"/>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2" memberValueDatatype="20" unbalanced="0"/>
    <cacheHierarchy uniqueName="[SportClimbing].[Height range (m)]" caption="Height range (m)" attribute="1" defaultMemberUniqueName="[SportClimbing].[Height range (m)].[All]" allUniqueName="[SportClimbing].[Height range (m)].[All]" dimensionUniqueName="[SportClimbing]" displayFolder="" count="0" memberValueDatatype="130" unbalanced="0"/>
    <cacheHierarchy uniqueName="[SportClimbing].[Belayer]" caption="Belayer" attribute="1" defaultMemberUniqueName="[SportClimbing].[Belayer].[All]" allUniqueName="[SportClimbing].[Belayer].[All]" dimensionUniqueName="[SportClimbing]" displayFolder="" count="2" memberValueDatatype="130" unbalanced="0"/>
    <cacheHierarchy uniqueName="[SportClimbing].[Total number of tries]" caption="Total number of tries" attribute="1" defaultMemberUniqueName="[SportClimbing].[Total number of tries].[All]" allUniqueName="[SportClimbing].[Total number of tries].[All]" dimensionUniqueName="[SportClimbing]" displayFolder="" count="2" memberValueDatatype="130" unbalanced="0"/>
    <cacheHierarchy uniqueName="[Years].[YEARS]" caption="YEARS" attribute="1" defaultMemberUniqueName="[Years].[YEARS].[All]" allUniqueName="[Years].[YEARS].[All]" dimensionUniqueName="[Years]" displayFolder="" count="2" memberValueDatatype="20" unbalanced="0">
      <fieldsUsage count="2">
        <fieldUsage x="-1"/>
        <fieldUsage x="2"/>
      </fieldsUsage>
    </cacheHierarchy>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No measures defined]" caption="__No measures defined" measure="1" displayFolder="" count="0" hidden="1"/>
    <cacheHierarchy uniqueName="[Measures].[Count of Belayer]" caption="Count of Belayer" measure="1" displayFolder="" measureGroup="SportClimbing" count="0" oneField="1" hidden="1">
      <fieldsUsage count="1">
        <fieldUsage x="1"/>
      </fieldsUsage>
      <extLst>
        <ext xmlns:x15="http://schemas.microsoft.com/office/spreadsheetml/2010/11/main" uri="{B97F6D7D-B522-45F9-BDA1-12C45D357490}">
          <x15:cacheHierarchy aggregatedColumn="13"/>
        </ext>
      </extLst>
    </cacheHierarchy>
  </cacheHierarchies>
  <kpis count="0"/>
  <dimensions count="4">
    <dimension measure="1" name="Measures" uniqueName="[Measures]" caption="Measures"/>
    <dimension name="MONTHS" uniqueName="[MONTHS]" caption="MONTHS"/>
    <dimension name="SportClimbing" uniqueName="[SportClimbing]" caption="SportClimbing"/>
    <dimension name="Years" uniqueName="[Years]" caption="Years"/>
  </dimensions>
  <measureGroups count="3">
    <measureGroup name="MONTHS" caption="MONTHS"/>
    <measureGroup name="SportClimbing" caption="SportClimbing"/>
    <measureGroup name="Years" caption="Years"/>
  </measureGroups>
  <maps count="5">
    <map measureGroup="0" dimension="1"/>
    <map measureGroup="1" dimension="1"/>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269.544093171295" backgroundQuery="1" createdVersion="8" refreshedVersion="8" minRefreshableVersion="3" recordCount="0" supportSubquery="1" supportAdvancedDrill="1" xr:uid="{0C738BFB-A475-4821-BAAC-6F97E7E0D64B}">
  <cacheSource type="external" connectionId="1"/>
  <cacheFields count="3">
    <cacheField name="[SportClimbing].[Total number of tries].[Total number of tries]" caption="Total number of tries" numFmtId="0" hierarchy="14" level="1">
      <sharedItems count="13">
        <s v="10"/>
        <s v="12"/>
        <s v="14"/>
        <s v="2"/>
        <s v="3"/>
        <s v="4"/>
        <s v="5"/>
        <s v="50"/>
        <s v="6"/>
        <s v="7"/>
        <s v="8"/>
        <s v="flash"/>
        <s v="onsight"/>
      </sharedItems>
    </cacheField>
    <cacheField name="[Measures].[Count of Belayer]" caption="Count of Belayer" numFmtId="0" hierarchy="20" level="32767"/>
    <cacheField name="[Years].[YEARS].[YEARS]" caption="YEARS" numFmtId="0" hierarchy="15" level="1">
      <sharedItems containsSemiMixedTypes="0" containsNonDate="0" containsString="0"/>
    </cacheField>
  </cacheFields>
  <cacheHierarchies count="21">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0" memberValueDatatype="130" unbalanced="0"/>
    <cacheHierarchy uniqueName="[MONTHS].[MONTHS 3]" caption="MONTHS 3" attribute="1" defaultMemberUniqueName="[MONTHS].[MONTHS 3].[All]" allUniqueName="[MONTHS].[MONTHS 3].[All]" dimensionUniqueName="[MONTHS]" displayFolder="" count="0" memberValueDatatype="20"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0" memberValueDatatype="130" unbalanced="0"/>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cacheHierarchy uniqueName="[SportClimbing].[Country]" caption="Country" attribute="1" defaultMemberUniqueName="[SportClimbing].[Country].[All]" allUniqueName="[SportClimbing].[Country].[All]" dimensionUniqueName="[SportClimbing]" displayFolder="" count="0" memberValueDatatype="130" unbalanced="0"/>
    <cacheHierarchy uniqueName="[SportClimbing].[Crag]" caption="Crag" attribute="1" defaultMemberUniqueName="[SportClimbing].[Crag].[All]" allUniqueName="[SportClimbing].[Crag].[All]" dimensionUniqueName="[SportClimbing]" displayFolder="" count="2" memberValueDatatype="130" unbalanced="0"/>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2" memberValueDatatype="20" unbalanced="0"/>
    <cacheHierarchy uniqueName="[SportClimbing].[Height range (m)]" caption="Height range (m)" attribute="1" defaultMemberUniqueName="[SportClimbing].[Height range (m)].[All]" allUniqueName="[SportClimbing].[Height range (m)].[All]" dimensionUniqueName="[SportClimbing]" displayFolder="" count="0" memberValueDatatype="130" unbalanced="0"/>
    <cacheHierarchy uniqueName="[SportClimbing].[Belayer]" caption="Belayer" attribute="1" defaultMemberUniqueName="[SportClimbing].[Belayer].[All]" allUniqueName="[SportClimbing].[Belayer].[All]" dimensionUniqueName="[SportClimbing]" displayFolder="" count="2" memberValueDatatype="130" unbalanced="0"/>
    <cacheHierarchy uniqueName="[SportClimbing].[Total number of tries]" caption="Total number of tries" attribute="1" defaultMemberUniqueName="[SportClimbing].[Total number of tries].[All]" allUniqueName="[SportClimbing].[Total number of tries].[All]" dimensionUniqueName="[SportClimbing]" displayFolder="" count="2" memberValueDatatype="130" unbalanced="0">
      <fieldsUsage count="2">
        <fieldUsage x="-1"/>
        <fieldUsage x="0"/>
      </fieldsUsage>
    </cacheHierarchy>
    <cacheHierarchy uniqueName="[Years].[YEARS]" caption="YEARS" attribute="1" defaultMemberUniqueName="[Years].[YEARS].[All]" allUniqueName="[Years].[YEARS].[All]" dimensionUniqueName="[Years]" displayFolder="" count="2" memberValueDatatype="20" unbalanced="0">
      <fieldsUsage count="2">
        <fieldUsage x="-1"/>
        <fieldUsage x="2"/>
      </fieldsUsage>
    </cacheHierarchy>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No measures defined]" caption="__No measures defined" measure="1" displayFolder="" count="0" hidden="1"/>
    <cacheHierarchy uniqueName="[Measures].[Count of Belayer]" caption="Count of Belayer" measure="1" displayFolder="" measureGroup="SportClimbing" count="0" oneField="1" hidden="1">
      <fieldsUsage count="1">
        <fieldUsage x="1"/>
      </fieldsUsage>
      <extLst>
        <ext xmlns:x15="http://schemas.microsoft.com/office/spreadsheetml/2010/11/main" uri="{B97F6D7D-B522-45F9-BDA1-12C45D357490}">
          <x15:cacheHierarchy aggregatedColumn="13"/>
        </ext>
      </extLst>
    </cacheHierarchy>
  </cacheHierarchies>
  <kpis count="0"/>
  <dimensions count="4">
    <dimension measure="1" name="Measures" uniqueName="[Measures]" caption="Measures"/>
    <dimension name="MONTHS" uniqueName="[MONTHS]" caption="MONTHS"/>
    <dimension name="SportClimbing" uniqueName="[SportClimbing]" caption="SportClimbing"/>
    <dimension name="Years" uniqueName="[Years]" caption="Years"/>
  </dimensions>
  <measureGroups count="3">
    <measureGroup name="MONTHS" caption="MONTHS"/>
    <measureGroup name="SportClimbing" caption="SportClimbing"/>
    <measureGroup name="Years" caption="Years"/>
  </measureGroups>
  <maps count="5">
    <map measureGroup="0" dimension="1"/>
    <map measureGroup="1" dimension="1"/>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269.544093402779" backgroundQuery="1" createdVersion="8" refreshedVersion="8" minRefreshableVersion="3" recordCount="0" supportSubquery="1" supportAdvancedDrill="1" xr:uid="{6C96952E-A342-429B-9021-FABFA00C7C2D}">
  <cacheSource type="external" connectionId="1"/>
  <cacheFields count="3">
    <cacheField name="[SportClimbing].[Grade].[Grade]" caption="Grade" numFmtId="0" hierarchy="7" level="1">
      <sharedItems count="6">
        <s v="7a"/>
        <s v="7a+"/>
        <s v="7b"/>
        <s v="7b+"/>
        <s v="7c"/>
        <s v="7c+"/>
      </sharedItems>
    </cacheField>
    <cacheField name="[Measures].[Count of Belayer]" caption="Count of Belayer" numFmtId="0" hierarchy="20" level="32767"/>
    <cacheField name="[Years].[YEARS].[YEARS]" caption="YEARS" numFmtId="0" hierarchy="15" level="1">
      <sharedItems containsSemiMixedTypes="0" containsNonDate="0" containsString="0"/>
    </cacheField>
  </cacheFields>
  <cacheHierarchies count="21">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0" memberValueDatatype="130" unbalanced="0"/>
    <cacheHierarchy uniqueName="[MONTHS].[MONTHS 3]" caption="MONTHS 3" attribute="1" defaultMemberUniqueName="[MONTHS].[MONTHS 3].[All]" allUniqueName="[MONTHS].[MONTHS 3].[All]" dimensionUniqueName="[MONTHS]" displayFolder="" count="0" memberValueDatatype="20"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0" memberValueDatatype="130" unbalanced="0"/>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fieldsUsage count="2">
        <fieldUsage x="-1"/>
        <fieldUsage x="0"/>
      </fieldsUsage>
    </cacheHierarchy>
    <cacheHierarchy uniqueName="[SportClimbing].[Country]" caption="Country" attribute="1" defaultMemberUniqueName="[SportClimbing].[Country].[All]" allUniqueName="[SportClimbing].[Country].[All]" dimensionUniqueName="[SportClimbing]" displayFolder="" count="0" memberValueDatatype="130" unbalanced="0"/>
    <cacheHierarchy uniqueName="[SportClimbing].[Crag]" caption="Crag" attribute="1" defaultMemberUniqueName="[SportClimbing].[Crag].[All]" allUniqueName="[SportClimbing].[Crag].[All]" dimensionUniqueName="[SportClimbing]" displayFolder="" count="2" memberValueDatatype="130" unbalanced="0"/>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2" memberValueDatatype="20" unbalanced="0"/>
    <cacheHierarchy uniqueName="[SportClimbing].[Height range (m)]" caption="Height range (m)" attribute="1" defaultMemberUniqueName="[SportClimbing].[Height range (m)].[All]" allUniqueName="[SportClimbing].[Height range (m)].[All]" dimensionUniqueName="[SportClimbing]" displayFolder="" count="0" memberValueDatatype="130" unbalanced="0"/>
    <cacheHierarchy uniqueName="[SportClimbing].[Belayer]" caption="Belayer" attribute="1" defaultMemberUniqueName="[SportClimbing].[Belayer].[All]" allUniqueName="[SportClimbing].[Belayer].[All]" dimensionUniqueName="[SportClimbing]" displayFolder="" count="2" memberValueDatatype="130" unbalanced="0"/>
    <cacheHierarchy uniqueName="[SportClimbing].[Total number of tries]" caption="Total number of tries" attribute="1" defaultMemberUniqueName="[SportClimbing].[Total number of tries].[All]" allUniqueName="[SportClimbing].[Total number of tries].[All]" dimensionUniqueName="[SportClimbing]" displayFolder="" count="2" memberValueDatatype="130" unbalanced="0"/>
    <cacheHierarchy uniqueName="[Years].[YEARS]" caption="YEARS" attribute="1" defaultMemberUniqueName="[Years].[YEARS].[All]" allUniqueName="[Years].[YEARS].[All]" dimensionUniqueName="[Years]" displayFolder="" count="2" memberValueDatatype="20" unbalanced="0">
      <fieldsUsage count="2">
        <fieldUsage x="-1"/>
        <fieldUsage x="2"/>
      </fieldsUsage>
    </cacheHierarchy>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No measures defined]" caption="__No measures defined" measure="1" displayFolder="" count="0" hidden="1"/>
    <cacheHierarchy uniqueName="[Measures].[Count of Belayer]" caption="Count of Belayer" measure="1" displayFolder="" measureGroup="SportClimbing" count="0" oneField="1" hidden="1">
      <fieldsUsage count="1">
        <fieldUsage x="1"/>
      </fieldsUsage>
      <extLst>
        <ext xmlns:x15="http://schemas.microsoft.com/office/spreadsheetml/2010/11/main" uri="{B97F6D7D-B522-45F9-BDA1-12C45D357490}">
          <x15:cacheHierarchy aggregatedColumn="13"/>
        </ext>
      </extLst>
    </cacheHierarchy>
  </cacheHierarchies>
  <kpis count="0"/>
  <dimensions count="4">
    <dimension measure="1" name="Measures" uniqueName="[Measures]" caption="Measures"/>
    <dimension name="MONTHS" uniqueName="[MONTHS]" caption="MONTHS"/>
    <dimension name="SportClimbing" uniqueName="[SportClimbing]" caption="SportClimbing"/>
    <dimension name="Years" uniqueName="[Years]" caption="Years"/>
  </dimensions>
  <measureGroups count="3">
    <measureGroup name="MONTHS" caption="MONTHS"/>
    <measureGroup name="SportClimbing" caption="SportClimbing"/>
    <measureGroup name="Years" caption="Years"/>
  </measureGroups>
  <maps count="5">
    <map measureGroup="0" dimension="1"/>
    <map measureGroup="1" dimension="1"/>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269.544093865741" backgroundQuery="1" createdVersion="8" refreshedVersion="8" minRefreshableVersion="3" recordCount="0" supportSubquery="1" supportAdvancedDrill="1" xr:uid="{0B67CAF8-2EDA-4687-8EF0-53C89B0BC7A4}">
  <cacheSource type="external" connectionId="1"/>
  <cacheFields count="3">
    <cacheField name="[Measures].[Count of Belayer]" caption="Count of Belayer" numFmtId="0" hierarchy="20" level="32767"/>
    <cacheField name="[SportClimbing].[Height range (m)].[Height range (m)]" caption="Height range (m)" numFmtId="0" hierarchy="12" level="1">
      <sharedItems count="6">
        <s v="10-14"/>
        <s v="15-19"/>
        <s v="20-24"/>
        <s v="25-29"/>
        <s v="30-34"/>
        <s v="35+"/>
      </sharedItems>
    </cacheField>
    <cacheField name="[Years].[YEARS].[YEARS]" caption="YEARS" numFmtId="0" hierarchy="15" level="1">
      <sharedItems containsSemiMixedTypes="0" containsNonDate="0" containsString="0"/>
    </cacheField>
  </cacheFields>
  <cacheHierarchies count="21">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0" memberValueDatatype="130" unbalanced="0"/>
    <cacheHierarchy uniqueName="[MONTHS].[MONTHS 3]" caption="MONTHS 3" attribute="1" defaultMemberUniqueName="[MONTHS].[MONTHS 3].[All]" allUniqueName="[MONTHS].[MONTHS 3].[All]" dimensionUniqueName="[MONTHS]" displayFolder="" count="0" memberValueDatatype="20"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0" memberValueDatatype="130" unbalanced="0"/>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cacheHierarchy uniqueName="[SportClimbing].[Country]" caption="Country" attribute="1" defaultMemberUniqueName="[SportClimbing].[Country].[All]" allUniqueName="[SportClimbing].[Country].[All]" dimensionUniqueName="[SportClimbing]" displayFolder="" count="0" memberValueDatatype="130" unbalanced="0"/>
    <cacheHierarchy uniqueName="[SportClimbing].[Crag]" caption="Crag" attribute="1" defaultMemberUniqueName="[SportClimbing].[Crag].[All]" allUniqueName="[SportClimbing].[Crag].[All]" dimensionUniqueName="[SportClimbing]" displayFolder="" count="2" memberValueDatatype="130" unbalanced="0"/>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2" memberValueDatatype="20" unbalanced="0"/>
    <cacheHierarchy uniqueName="[SportClimbing].[Height range (m)]" caption="Height range (m)" attribute="1" defaultMemberUniqueName="[SportClimbing].[Height range (m)].[All]" allUniqueName="[SportClimbing].[Height range (m)].[All]" dimensionUniqueName="[SportClimbing]" displayFolder="" count="2" memberValueDatatype="130" unbalanced="0">
      <fieldsUsage count="2">
        <fieldUsage x="-1"/>
        <fieldUsage x="1"/>
      </fieldsUsage>
    </cacheHierarchy>
    <cacheHierarchy uniqueName="[SportClimbing].[Belayer]" caption="Belayer" attribute="1" defaultMemberUniqueName="[SportClimbing].[Belayer].[All]" allUniqueName="[SportClimbing].[Belayer].[All]" dimensionUniqueName="[SportClimbing]" displayFolder="" count="2" memberValueDatatype="130" unbalanced="0"/>
    <cacheHierarchy uniqueName="[SportClimbing].[Total number of tries]" caption="Total number of tries" attribute="1" defaultMemberUniqueName="[SportClimbing].[Total number of tries].[All]" allUniqueName="[SportClimbing].[Total number of tries].[All]" dimensionUniqueName="[SportClimbing]" displayFolder="" count="2" memberValueDatatype="130" unbalanced="0"/>
    <cacheHierarchy uniqueName="[Years].[YEARS]" caption="YEARS" attribute="1" defaultMemberUniqueName="[Years].[YEARS].[All]" allUniqueName="[Years].[YEARS].[All]" dimensionUniqueName="[Years]" displayFolder="" count="2" memberValueDatatype="20" unbalanced="0">
      <fieldsUsage count="2">
        <fieldUsage x="-1"/>
        <fieldUsage x="2"/>
      </fieldsUsage>
    </cacheHierarchy>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No measures defined]" caption="__No measures defined" measure="1" displayFolder="" count="0" hidden="1"/>
    <cacheHierarchy uniqueName="[Measures].[Count of Belayer]" caption="Count of Belayer" measure="1" displayFolder="" measureGroup="SportClimbing" count="0" oneField="1" hidden="1">
      <fieldsUsage count="1">
        <fieldUsage x="0"/>
      </fieldsUsage>
      <extLst>
        <ext xmlns:x15="http://schemas.microsoft.com/office/spreadsheetml/2010/11/main" uri="{B97F6D7D-B522-45F9-BDA1-12C45D357490}">
          <x15:cacheHierarchy aggregatedColumn="13"/>
        </ext>
      </extLst>
    </cacheHierarchy>
  </cacheHierarchies>
  <kpis count="0"/>
  <dimensions count="4">
    <dimension measure="1" name="Measures" uniqueName="[Measures]" caption="Measures"/>
    <dimension name="MONTHS" uniqueName="[MONTHS]" caption="MONTHS"/>
    <dimension name="SportClimbing" uniqueName="[SportClimbing]" caption="SportClimbing"/>
    <dimension name="Years" uniqueName="[Years]" caption="Years"/>
  </dimensions>
  <measureGroups count="3">
    <measureGroup name="MONTHS" caption="MONTHS"/>
    <measureGroup name="SportClimbing" caption="SportClimbing"/>
    <measureGroup name="Years" caption="Years"/>
  </measureGroups>
  <maps count="5">
    <map measureGroup="0" dimension="1"/>
    <map measureGroup="1" dimension="1"/>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235.516964120368" backgroundQuery="1" createdVersion="3" refreshedVersion="8" minRefreshableVersion="3" recordCount="0" supportSubquery="1" supportAdvancedDrill="1" xr:uid="{164DA106-9C5E-432F-86BD-2B8523CF6B11}">
  <cacheSource type="external" connectionId="1">
    <extLst>
      <ext xmlns:x14="http://schemas.microsoft.com/office/spreadsheetml/2009/9/main" uri="{F057638F-6D5F-4e77-A914-E7F072B9BCA8}">
        <x14:sourceConnection name="ThisWorkbookDataModel"/>
      </ext>
    </extLst>
  </cacheSource>
  <cacheFields count="0"/>
  <cacheHierarchies count="21">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0" memberValueDatatype="130" unbalanced="0"/>
    <cacheHierarchy uniqueName="[MONTHS].[MONTHS 3]" caption="MONTHS 3" attribute="1" defaultMemberUniqueName="[MONTHS].[MONTHS 3].[All]" allUniqueName="[MONTHS].[MONTHS 3].[All]" dimensionUniqueName="[MONTHS]" displayFolder="" count="0" memberValueDatatype="20"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0" memberValueDatatype="130" unbalanced="0"/>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cacheHierarchy uniqueName="[SportClimbing].[Country]" caption="Country" attribute="1" defaultMemberUniqueName="[SportClimbing].[Country].[All]" allUniqueName="[SportClimbing].[Country].[All]" dimensionUniqueName="[SportClimbing]" displayFolder="" count="0" memberValueDatatype="130" unbalanced="0"/>
    <cacheHierarchy uniqueName="[SportClimbing].[Crag]" caption="Crag" attribute="1" defaultMemberUniqueName="[SportClimbing].[Crag].[All]" allUniqueName="[SportClimbing].[Crag].[All]" dimensionUniqueName="[SportClimbing]" displayFolder="" count="2" memberValueDatatype="130" unbalanced="0"/>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2" memberValueDatatype="20" unbalanced="0"/>
    <cacheHierarchy uniqueName="[SportClimbing].[Height range (m)]" caption="Height range (m)" attribute="1" defaultMemberUniqueName="[SportClimbing].[Height range (m)].[All]" allUniqueName="[SportClimbing].[Height range (m)].[All]" dimensionUniqueName="[SportClimbing]" displayFolder="" count="0" memberValueDatatype="130" unbalanced="0"/>
    <cacheHierarchy uniqueName="[SportClimbing].[Belayer]" caption="Belayer" attribute="1" defaultMemberUniqueName="[SportClimbing].[Belayer].[All]" allUniqueName="[SportClimbing].[Belayer].[All]" dimensionUniqueName="[SportClimbing]" displayFolder="" count="2" memberValueDatatype="130" unbalanced="0"/>
    <cacheHierarchy uniqueName="[SportClimbing].[Total number of tries]" caption="Total number of tries" attribute="1" defaultMemberUniqueName="[SportClimbing].[Total number of tries].[All]" allUniqueName="[SportClimbing].[Total number of tries].[All]" dimensionUniqueName="[SportClimbing]" displayFolder="" count="2" memberValueDatatype="130" unbalanced="0"/>
    <cacheHierarchy uniqueName="[Years].[YEARS]" caption="YEARS" attribute="1" defaultMemberUniqueName="[Years].[YEARS].[All]" allUniqueName="[Years].[YEARS].[All]" dimensionUniqueName="[Years]" displayFolder="" count="2" memberValueDatatype="20" unbalanced="0"/>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No measures defined]" caption="__No measures defined" measure="1" displayFolder="" count="0" hidden="1"/>
    <cacheHierarchy uniqueName="[Measures].[Count of Belayer]" caption="Count of Belayer" measure="1" displayFolder="" measureGroup="SportClimbing" count="0" hidden="1">
      <extLst>
        <ext xmlns:x15="http://schemas.microsoft.com/office/spreadsheetml/2010/11/main" uri="{B97F6D7D-B522-45F9-BDA1-12C45D357490}">
          <x15:cacheHierarchy aggregatedColumn="13"/>
        </ext>
      </extLst>
    </cacheHierarchy>
  </cacheHierarchies>
  <kpis count="0"/>
  <extLst>
    <ext xmlns:x14="http://schemas.microsoft.com/office/spreadsheetml/2009/9/main" uri="{725AE2AE-9491-48be-B2B4-4EB974FC3084}">
      <x14:pivotCacheDefinition slicerData="1" pivotCacheId="1478781154"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7">
  <r>
    <m/>
    <s v="Jul"/>
    <x v="0"/>
    <s v="Mégaboule"/>
    <s v="7a"/>
    <x v="0"/>
    <s v="France"/>
    <s v="Roc d'Anglars"/>
    <s v="Révélations"/>
    <n v="15"/>
    <s v="15-19"/>
    <x v="0"/>
    <n v="7"/>
  </r>
  <r>
    <m/>
    <s v="Jul"/>
    <x v="1"/>
    <s v="Clin d'oeil à la Lune"/>
    <s v="7a"/>
    <x v="0"/>
    <s v="France"/>
    <s v="Roc d'Anglars"/>
    <s v="Révélations"/>
    <n v="25"/>
    <s v="25-29"/>
    <x v="1"/>
    <n v="4"/>
  </r>
  <r>
    <m/>
    <s v="Apr"/>
    <x v="2"/>
    <s v="Sex Machine"/>
    <s v="7a"/>
    <x v="0"/>
    <s v="France"/>
    <s v="Gorges de la Cesse"/>
    <s v="Cassiopée"/>
    <n v="25"/>
    <s v="25-29"/>
    <x v="0"/>
    <s v="flash"/>
  </r>
  <r>
    <m/>
    <s v="May"/>
    <x v="2"/>
    <s v="Bamboleiro"/>
    <s v="7a"/>
    <x v="0"/>
    <s v="France"/>
    <s v="Carol"/>
    <s v="Gauche"/>
    <n v="18"/>
    <s v="15-19"/>
    <x v="2"/>
    <n v="2"/>
  </r>
  <r>
    <n v="6"/>
    <s v="Aug"/>
    <x v="3"/>
    <s v="Lola"/>
    <s v="7a"/>
    <x v="0"/>
    <s v="Spain"/>
    <s v="Rodellar"/>
    <s v="Pared de la Virgen"/>
    <n v="20"/>
    <s v="20-24"/>
    <x v="3"/>
    <n v="2"/>
  </r>
  <r>
    <n v="8"/>
    <s v="Apr"/>
    <x v="4"/>
    <s v="Manara Clic"/>
    <s v="7a"/>
    <x v="0"/>
    <s v="Spain"/>
    <s v="Roc de la Lluna"/>
    <s v="Sud"/>
    <n v="20"/>
    <s v="20-24"/>
    <x v="4"/>
    <n v="2"/>
  </r>
  <r>
    <n v="21"/>
    <s v="Nov"/>
    <x v="4"/>
    <s v="De socials un 10"/>
    <s v="7a+"/>
    <x v="1"/>
    <s v="Spain"/>
    <s v="Gelida"/>
    <s v="Centre"/>
    <n v="25"/>
    <s v="25-29"/>
    <x v="5"/>
    <n v="4"/>
  </r>
  <r>
    <n v="21"/>
    <s v="Dec"/>
    <x v="4"/>
    <s v="KA NO"/>
    <s v="7a+"/>
    <x v="1"/>
    <s v="Spain"/>
    <s v="Gelida"/>
    <s v="Centre"/>
    <n v="25"/>
    <s v="25-29"/>
    <x v="4"/>
    <s v="flash"/>
  </r>
  <r>
    <n v="21"/>
    <s v="Jan"/>
    <x v="5"/>
    <s v="Amor suprem"/>
    <s v="7b"/>
    <x v="2"/>
    <s v="Spain"/>
    <s v="Gelida"/>
    <s v="Centre"/>
    <n v="25"/>
    <s v="25-29"/>
    <x v="4"/>
    <n v="7"/>
  </r>
  <r>
    <n v="1"/>
    <s v="Feb"/>
    <x v="5"/>
    <s v="nº28"/>
    <s v="7a"/>
    <x v="0"/>
    <s v="Spain"/>
    <s v="Gelida"/>
    <s v="Centre"/>
    <n v="18"/>
    <s v="15-19"/>
    <x v="6"/>
    <s v="onsight"/>
  </r>
  <r>
    <n v="5"/>
    <s v="Feb"/>
    <x v="5"/>
    <s v="Neska polita"/>
    <s v="7a"/>
    <x v="0"/>
    <s v="Spain"/>
    <s v="Garraf"/>
    <s v="Mala Dona"/>
    <n v="12"/>
    <s v="10-14"/>
    <x v="7"/>
    <n v="12"/>
  </r>
  <r>
    <n v="9"/>
    <s v="Feb"/>
    <x v="5"/>
    <s v="Las Garretes del Garraf"/>
    <s v="7b+"/>
    <x v="3"/>
    <s v="Spain"/>
    <s v="Garraf"/>
    <s v="Mala Dona"/>
    <n v="25"/>
    <s v="25-29"/>
    <x v="7"/>
    <n v="2"/>
  </r>
  <r>
    <n v="26"/>
    <s v="Feb"/>
    <x v="5"/>
    <s v="Xapes Negres"/>
    <s v="7a+"/>
    <x v="1"/>
    <s v="Spain"/>
    <s v="Gelida"/>
    <s v="Centre"/>
    <n v="20"/>
    <s v="20-24"/>
    <x v="8"/>
    <s v="flash"/>
  </r>
  <r>
    <n v="26"/>
    <s v="Feb"/>
    <x v="5"/>
    <s v="nº26"/>
    <s v="7a"/>
    <x v="0"/>
    <s v="Spain"/>
    <s v="Gelida"/>
    <s v="Centre"/>
    <n v="20"/>
    <s v="20-24"/>
    <x v="5"/>
    <s v="onsight"/>
  </r>
  <r>
    <n v="9"/>
    <s v="Mar"/>
    <x v="5"/>
    <s v="Merda de la serra"/>
    <s v="7a+"/>
    <x v="1"/>
    <s v="Spain"/>
    <s v="Gelida"/>
    <s v="Centre"/>
    <n v="20"/>
    <s v="20-24"/>
    <x v="9"/>
    <n v="2"/>
  </r>
  <r>
    <n v="9"/>
    <s v="Mar"/>
    <x v="5"/>
    <s v="Dos peluts i un destí"/>
    <s v="7a"/>
    <x v="0"/>
    <s v="Spain"/>
    <s v="Gelida"/>
    <s v="Centre"/>
    <n v="20"/>
    <s v="20-24"/>
    <x v="9"/>
    <n v="2"/>
  </r>
  <r>
    <n v="21"/>
    <s v="Mar"/>
    <x v="5"/>
    <s v="Simply Extrem"/>
    <s v="7b+"/>
    <x v="3"/>
    <s v="Spain"/>
    <s v="Garraf"/>
    <s v="Mala Dona"/>
    <n v="18"/>
    <s v="15-19"/>
    <x v="7"/>
    <n v="8"/>
  </r>
  <r>
    <n v="10"/>
    <s v="Apr"/>
    <x v="5"/>
    <s v="Garroma"/>
    <s v="7b+"/>
    <x v="3"/>
    <s v="Spain"/>
    <s v="Garraf"/>
    <s v="Mala Dona"/>
    <n v="25"/>
    <s v="25-29"/>
    <x v="10"/>
    <n v="14"/>
  </r>
  <r>
    <n v="13"/>
    <s v="Apr"/>
    <x v="5"/>
    <s v="Brigadistak"/>
    <s v="7a"/>
    <x v="0"/>
    <s v="Spain"/>
    <s v="Siurana"/>
    <s v="Siuranella Este"/>
    <n v="30"/>
    <s v="30-34"/>
    <x v="11"/>
    <s v="onsight"/>
  </r>
  <r>
    <n v="13"/>
    <s v="Apr"/>
    <x v="5"/>
    <s v="Lo dejé to blanco"/>
    <s v="7a"/>
    <x v="0"/>
    <s v="Spain"/>
    <s v="Siurana"/>
    <s v="Siuranella Este"/>
    <n v="30"/>
    <s v="30-34"/>
    <x v="12"/>
    <s v="onsight"/>
  </r>
  <r>
    <n v="13"/>
    <s v="Apr"/>
    <x v="5"/>
    <s v="Lo més negre"/>
    <s v="7a"/>
    <x v="0"/>
    <s v="Spain"/>
    <s v="Siurana"/>
    <s v="Siuranella Este"/>
    <n v="25"/>
    <s v="25-29"/>
    <x v="4"/>
    <n v="2"/>
  </r>
  <r>
    <n v="17"/>
    <s v="Apr"/>
    <x v="5"/>
    <s v="Calma Tensa"/>
    <s v="7b+"/>
    <x v="3"/>
    <s v="Spain"/>
    <s v="Gelida"/>
    <s v="Centre"/>
    <n v="20"/>
    <s v="20-24"/>
    <x v="4"/>
    <n v="2"/>
  </r>
  <r>
    <n v="4"/>
    <s v="May"/>
    <x v="5"/>
    <s v="Imperatriz Esmeralda"/>
    <s v="7b+"/>
    <x v="3"/>
    <s v="Spain"/>
    <s v="Font Soleia"/>
    <s v="Paret Gran"/>
    <n v="22"/>
    <s v="20-24"/>
    <x v="10"/>
    <n v="10"/>
  </r>
  <r>
    <n v="29"/>
    <s v="May"/>
    <x v="5"/>
    <s v="Súbete a mi piel"/>
    <s v="7a"/>
    <x v="0"/>
    <s v="Spain"/>
    <s v="Font Soleia"/>
    <s v="Paret Gran"/>
    <n v="18"/>
    <s v="15-19"/>
    <x v="10"/>
    <n v="2"/>
  </r>
  <r>
    <n v="13"/>
    <s v="Jun"/>
    <x v="6"/>
    <s v="Josuai Lama"/>
    <s v="7a"/>
    <x v="0"/>
    <s v="Spain"/>
    <s v="Garraf"/>
    <s v="Cova dels Bombers"/>
    <n v="15"/>
    <s v="15-19"/>
    <x v="13"/>
    <n v="2"/>
  </r>
  <r>
    <n v="12"/>
    <s v="Nov"/>
    <x v="6"/>
    <s v="Sugopy"/>
    <s v="7a"/>
    <x v="0"/>
    <s v="Spain"/>
    <s v="Siurana"/>
    <s v="Grau dels Masets Esquerra"/>
    <n v="25"/>
    <s v="25-29"/>
    <x v="14"/>
    <s v="flash"/>
  </r>
  <r>
    <n v="2"/>
    <s v="Apr"/>
    <x v="7"/>
    <s v="Se m'apaga la baldufa"/>
    <s v="7a"/>
    <x v="0"/>
    <s v="Spain"/>
    <s v="Siurana"/>
    <s v="Esperó Primavera"/>
    <n v="20"/>
    <s v="20-24"/>
    <x v="15"/>
    <n v="2"/>
  </r>
  <r>
    <n v="13"/>
    <s v="Apr"/>
    <x v="7"/>
    <s v="Juan y Fran se nos van"/>
    <s v="7a+"/>
    <x v="1"/>
    <s v="Spain"/>
    <s v="Rodellar"/>
    <s v="Las ventanas"/>
    <n v="20"/>
    <s v="20-24"/>
    <x v="16"/>
    <n v="3"/>
  </r>
  <r>
    <n v="15"/>
    <s v="Apr"/>
    <x v="7"/>
    <s v="Pasaba por aquí"/>
    <s v="7a"/>
    <x v="0"/>
    <s v="Spain"/>
    <s v="Rodellar"/>
    <s v="El Callejón"/>
    <n v="25"/>
    <s v="25-29"/>
    <x v="17"/>
    <n v="8"/>
  </r>
  <r>
    <n v="19"/>
    <s v="May"/>
    <x v="7"/>
    <s v="Good feeling"/>
    <s v="7a"/>
    <x v="0"/>
    <s v="Spain"/>
    <s v="Montserrat sur"/>
    <s v="Cova de l'Arcada"/>
    <n v="32"/>
    <s v="30-34"/>
    <x v="6"/>
    <s v="onsight"/>
  </r>
  <r>
    <n v="7"/>
    <s v="Jun"/>
    <x v="7"/>
    <s v="Viagraman"/>
    <s v="7a"/>
    <x v="0"/>
    <s v="Spain"/>
    <s v="Siurana"/>
    <s v="El Pati"/>
    <n v="25"/>
    <s v="25-29"/>
    <x v="16"/>
    <n v="3"/>
  </r>
  <r>
    <n v="20"/>
    <s v="Jun"/>
    <x v="7"/>
    <s v="Performance"/>
    <s v="7a"/>
    <x v="0"/>
    <s v="Spain"/>
    <s v="Font Soleia"/>
    <s v="El Gruyere"/>
    <n v="25"/>
    <s v="25-29"/>
    <x v="18"/>
    <s v="onsight"/>
  </r>
  <r>
    <n v="20"/>
    <s v="Jun"/>
    <x v="7"/>
    <s v="Requiem"/>
    <s v="7a+"/>
    <x v="1"/>
    <s v="Spain"/>
    <s v="Font Soleia"/>
    <s v="El Gruyere"/>
    <n v="25"/>
    <s v="25-29"/>
    <x v="18"/>
    <s v="onsight"/>
  </r>
  <r>
    <n v="8"/>
    <s v="Jul"/>
    <x v="7"/>
    <s v="Fleck"/>
    <s v="7b"/>
    <x v="2"/>
    <s v="Spain"/>
    <s v="Collegats"/>
    <s v="La Pedrera"/>
    <n v="35"/>
    <s v="35+"/>
    <x v="16"/>
    <n v="2"/>
  </r>
  <r>
    <n v="12"/>
    <s v="Aug"/>
    <x v="7"/>
    <s v="Beso de Cobra"/>
    <s v="7a"/>
    <x v="0"/>
    <s v="Spain"/>
    <s v="Siurana"/>
    <s v="L'aparador"/>
    <n v="30"/>
    <s v="30-34"/>
    <x v="19"/>
    <s v="onsight"/>
  </r>
  <r>
    <n v="2"/>
    <s v="Sep"/>
    <x v="7"/>
    <s v="Crit de Panic"/>
    <s v="7a"/>
    <x v="0"/>
    <s v="Spain"/>
    <s v="Sadernes"/>
    <s v="Cova del Bisbe"/>
    <n v="25"/>
    <s v="25-29"/>
    <x v="17"/>
    <n v="3"/>
  </r>
  <r>
    <n v="13"/>
    <s v="Sep"/>
    <x v="7"/>
    <s v="Attack of the Spindly Killer Fish"/>
    <s v="7a+"/>
    <x v="1"/>
    <s v="Spain"/>
    <s v="Mallorca"/>
    <s v="Cala Sa Nau"/>
    <n v="10"/>
    <s v="10-14"/>
    <x v="20"/>
    <s v="onsight"/>
  </r>
  <r>
    <n v="13"/>
    <s v="Sep"/>
    <x v="7"/>
    <s v="Rich Bitch"/>
    <s v="7a"/>
    <x v="0"/>
    <s v="Spain"/>
    <s v="Mallorca"/>
    <s v="Cala Mitjana"/>
    <n v="10"/>
    <s v="10-14"/>
    <x v="20"/>
    <s v="onsight"/>
  </r>
  <r>
    <n v="13"/>
    <s v="Sep"/>
    <x v="7"/>
    <s v="Balsa Boys"/>
    <s v="7a+"/>
    <x v="1"/>
    <s v="Spain"/>
    <s v="Mallorca"/>
    <s v="Cala Mitjana"/>
    <n v="12"/>
    <s v="10-14"/>
    <x v="20"/>
    <n v="2"/>
  </r>
  <r>
    <n v="23"/>
    <s v="Sep"/>
    <x v="7"/>
    <s v="Brego"/>
    <s v="7a+"/>
    <x v="1"/>
    <s v="Spain"/>
    <s v="Font Soleia"/>
    <s v="El Gruyere"/>
    <n v="25"/>
    <s v="25-29"/>
    <x v="21"/>
    <s v="onsight"/>
  </r>
  <r>
    <n v="25"/>
    <s v="Sep"/>
    <x v="7"/>
    <s v="Cetaci"/>
    <s v="7a+"/>
    <x v="1"/>
    <s v="Spain"/>
    <s v="Garraf"/>
    <s v="Cova dels Bombers"/>
    <n v="20"/>
    <s v="20-24"/>
    <x v="21"/>
    <n v="5"/>
  </r>
  <r>
    <n v="14"/>
    <s v="Oct"/>
    <x v="7"/>
    <s v="Huir para vivir"/>
    <s v="7a+"/>
    <x v="1"/>
    <s v="Spain"/>
    <s v="Siurana"/>
    <s v="Siuranella Este"/>
    <n v="30"/>
    <s v="30-34"/>
    <x v="17"/>
    <n v="3"/>
  </r>
  <r>
    <n v="15"/>
    <s v="Oct"/>
    <x v="7"/>
    <s v="Rauxa"/>
    <s v="7a+"/>
    <x v="1"/>
    <s v="Spain"/>
    <s v="Siurana"/>
    <s v="L'aparador"/>
    <n v="25"/>
    <s v="25-29"/>
    <x v="3"/>
    <n v="2"/>
  </r>
  <r>
    <n v="21"/>
    <s v="Oct"/>
    <x v="7"/>
    <s v="Jeketepeke"/>
    <s v="7a+"/>
    <x v="1"/>
    <s v="Spain"/>
    <s v="Siurana"/>
    <s v="El Cargol"/>
    <n v="25"/>
    <s v="25-29"/>
    <x v="15"/>
    <s v="onsight"/>
  </r>
  <r>
    <n v="21"/>
    <s v="Oct"/>
    <x v="7"/>
    <s v="La panxa del bou"/>
    <s v="7a+"/>
    <x v="1"/>
    <s v="Spain"/>
    <s v="Siurana"/>
    <s v="Siuranella Este"/>
    <n v="28"/>
    <s v="25-29"/>
    <x v="15"/>
    <n v="3"/>
  </r>
  <r>
    <n v="22"/>
    <s v="Oct"/>
    <x v="7"/>
    <s v="Cojón prieto"/>
    <s v="7a"/>
    <x v="0"/>
    <s v="Spain"/>
    <s v="Siurana"/>
    <s v="L'Herbolari"/>
    <n v="30"/>
    <s v="30-34"/>
    <x v="15"/>
    <s v="onsight"/>
  </r>
  <r>
    <n v="28"/>
    <s v="Oct"/>
    <x v="7"/>
    <s v="Cingles"/>
    <s v="7a"/>
    <x v="0"/>
    <s v="Spain"/>
    <s v="Grau dels matxos"/>
    <s v="page 4"/>
    <n v="25"/>
    <s v="25-29"/>
    <x v="21"/>
    <n v="2"/>
  </r>
  <r>
    <n v="28"/>
    <s v="Oct"/>
    <x v="7"/>
    <s v="Piano Piano"/>
    <s v="7a"/>
    <x v="0"/>
    <s v="Spain"/>
    <s v="Grau dels matxos"/>
    <s v="page 5"/>
    <n v="25"/>
    <s v="25-29"/>
    <x v="21"/>
    <n v="4"/>
  </r>
  <r>
    <n v="4"/>
    <s v="Nov"/>
    <x v="7"/>
    <s v="No ho sé"/>
    <s v="7b"/>
    <x v="2"/>
    <s v="Spain"/>
    <s v="Gelida"/>
    <s v="Centre"/>
    <n v="25"/>
    <s v="25-29"/>
    <x v="22"/>
    <n v="6"/>
  </r>
  <r>
    <n v="8"/>
    <s v="Dec"/>
    <x v="7"/>
    <s v="Little Ted"/>
    <s v="7a+"/>
    <x v="1"/>
    <s v="Spain"/>
    <s v="Siurana"/>
    <s v="Grau dels Masets Baix"/>
    <n v="25"/>
    <s v="25-29"/>
    <x v="16"/>
    <n v="2"/>
  </r>
  <r>
    <n v="9"/>
    <s v="Dec"/>
    <x v="7"/>
    <s v="No m'enganyis mes"/>
    <s v="7a"/>
    <x v="0"/>
    <s v="Spain"/>
    <s v="Arbolí"/>
    <s v="Can Simiro"/>
    <n v="20"/>
    <s v="20-24"/>
    <x v="9"/>
    <s v="flash"/>
  </r>
  <r>
    <n v="10"/>
    <s v="Dec"/>
    <x v="7"/>
    <s v="Prendre la tête"/>
    <s v="7a+"/>
    <x v="1"/>
    <s v="Spain"/>
    <s v="Siurana"/>
    <s v="Can Gans Dionis"/>
    <n v="20"/>
    <s v="20-24"/>
    <x v="23"/>
    <n v="3"/>
  </r>
  <r>
    <n v="16"/>
    <s v="Dec"/>
    <x v="7"/>
    <s v="Mystiflower"/>
    <s v="7a"/>
    <x v="0"/>
    <s v="Spain"/>
    <s v="Arbolí"/>
    <s v="El Dard"/>
    <n v="30"/>
    <s v="30-34"/>
    <x v="24"/>
    <s v="onsight"/>
  </r>
  <r>
    <n v="17"/>
    <s v="Dec"/>
    <x v="7"/>
    <s v="Mr Krek"/>
    <s v="7b"/>
    <x v="2"/>
    <s v="Spain"/>
    <s v="Arbolí"/>
    <s v="El Dard"/>
    <n v="30"/>
    <s v="30-34"/>
    <x v="24"/>
    <n v="2"/>
  </r>
  <r>
    <n v="30"/>
    <s v="Dec"/>
    <x v="7"/>
    <s v="Anys Bionics"/>
    <s v="7b+"/>
    <x v="3"/>
    <s v="Spain"/>
    <s v="Siurana"/>
    <s v="El Salt de la Reina Mora"/>
    <n v="38"/>
    <s v="35+"/>
    <x v="16"/>
    <s v="onsight"/>
  </r>
  <r>
    <n v="31"/>
    <s v="Dec"/>
    <x v="7"/>
    <s v="Salmo veintitrés"/>
    <s v="7a"/>
    <x v="0"/>
    <s v="Spain"/>
    <s v="Arbolí"/>
    <s v="El Falcó"/>
    <n v="20"/>
    <s v="20-24"/>
    <x v="16"/>
    <s v="onsight"/>
  </r>
  <r>
    <n v="31"/>
    <s v="Dec"/>
    <x v="7"/>
    <s v="?"/>
    <s v="7a+"/>
    <x v="1"/>
    <s v="Spain"/>
    <s v="Arbolí"/>
    <s v="El Falcó"/>
    <n v="25"/>
    <s v="25-29"/>
    <x v="16"/>
    <n v="2"/>
  </r>
  <r>
    <n v="5"/>
    <s v="Jan"/>
    <x v="8"/>
    <s v="Fotut Futur"/>
    <s v="7b"/>
    <x v="2"/>
    <s v="Spain"/>
    <s v="Garraf"/>
    <s v="Mala Dona"/>
    <n v="20"/>
    <s v="20-24"/>
    <x v="25"/>
    <n v="2"/>
  </r>
  <r>
    <n v="27"/>
    <s v="Jan"/>
    <x v="8"/>
    <s v="Megatrix"/>
    <s v="7b+"/>
    <x v="3"/>
    <s v="Spain"/>
    <s v="Gelida"/>
    <s v="Centre"/>
    <n v="25"/>
    <s v="25-29"/>
    <x v="16"/>
    <n v="10"/>
  </r>
  <r>
    <n v="3"/>
    <s v="Feb"/>
    <x v="8"/>
    <s v="Qui s'ha mort"/>
    <s v="7b"/>
    <x v="2"/>
    <s v="Spain"/>
    <s v="Can Paulet"/>
    <s v="Esquerra"/>
    <n v="12"/>
    <s v="10-14"/>
    <x v="16"/>
    <n v="3"/>
  </r>
  <r>
    <n v="22"/>
    <s v="Feb"/>
    <x v="8"/>
    <s v="Dale duro negro"/>
    <s v="7b"/>
    <x v="2"/>
    <s v="Spain"/>
    <s v="Chulilla"/>
    <s v="Sex shop"/>
    <n v="32"/>
    <s v="30-34"/>
    <x v="25"/>
    <s v="flash"/>
  </r>
  <r>
    <n v="23"/>
    <s v="Feb"/>
    <x v="8"/>
    <s v="Los caminantes"/>
    <s v="7b"/>
    <x v="2"/>
    <s v="Spain"/>
    <s v="Chulilla"/>
    <s v="Chorreras"/>
    <n v="32"/>
    <s v="30-34"/>
    <x v="25"/>
    <n v="2"/>
  </r>
  <r>
    <n v="24"/>
    <s v="Feb"/>
    <x v="8"/>
    <s v="?"/>
    <s v="7a"/>
    <x v="0"/>
    <s v="Spain"/>
    <s v="Chulilla"/>
    <s v="Oasis"/>
    <n v="32"/>
    <s v="30-34"/>
    <x v="25"/>
    <s v="onsight"/>
  </r>
  <r>
    <n v="18"/>
    <s v="Mar"/>
    <x v="8"/>
    <s v="Baby sitter"/>
    <s v="7a"/>
    <x v="0"/>
    <s v="Spain"/>
    <s v="Margalef"/>
    <s v="La Mainadera"/>
    <n v="18"/>
    <s v="15-19"/>
    <x v="26"/>
    <n v="2"/>
  </r>
  <r>
    <n v="30"/>
    <s v="Mar"/>
    <x v="8"/>
    <s v="Curriculo vaginal"/>
    <s v="7c"/>
    <x v="4"/>
    <s v="Spain"/>
    <s v="Chulilla"/>
    <s v="Sex shop"/>
    <n v="20"/>
    <s v="20-24"/>
    <x v="21"/>
    <n v="5"/>
  </r>
  <r>
    <n v="31"/>
    <s v="Mar"/>
    <x v="8"/>
    <s v="Zikrutiña mientras puedas"/>
    <s v="7a+"/>
    <x v="1"/>
    <s v="Spain"/>
    <s v="Chulilla"/>
    <s v="Muro de lamentaciones"/>
    <n v="18"/>
    <s v="15-19"/>
    <x v="21"/>
    <n v="2"/>
  </r>
  <r>
    <n v="1"/>
    <s v="Apr"/>
    <x v="8"/>
    <s v="?"/>
    <s v="7b+"/>
    <x v="3"/>
    <s v="Spain"/>
    <s v="Chulilla"/>
    <s v="Masters"/>
    <n v="30"/>
    <s v="30-34"/>
    <x v="26"/>
    <n v="2"/>
  </r>
  <r>
    <n v="2"/>
    <s v="Apr"/>
    <x v="8"/>
    <s v="?"/>
    <s v="7b"/>
    <x v="2"/>
    <s v="Spain"/>
    <s v="Chulilla"/>
    <s v="Fantasía"/>
    <n v="30"/>
    <s v="30-34"/>
    <x v="21"/>
    <n v="4"/>
  </r>
  <r>
    <n v="18"/>
    <s v="Apr"/>
    <x v="8"/>
    <s v="Desvariant"/>
    <s v="7b"/>
    <x v="2"/>
    <s v="Spain"/>
    <s v="Arbolí"/>
    <s v="L'Obaga del Falcó"/>
    <n v="25"/>
    <s v="25-29"/>
    <x v="27"/>
    <n v="2"/>
  </r>
  <r>
    <n v="20"/>
    <s v="Apr"/>
    <x v="8"/>
    <s v="Ay Mamita"/>
    <s v="7a"/>
    <x v="0"/>
    <s v="Spain"/>
    <s v="Siurana"/>
    <s v="El Pati"/>
    <n v="35"/>
    <s v="35+"/>
    <x v="28"/>
    <s v="onsight"/>
  </r>
  <r>
    <n v="22"/>
    <s v="Apr"/>
    <x v="8"/>
    <s v="Bindelef"/>
    <s v="7a+"/>
    <x v="1"/>
    <s v="Spain"/>
    <s v="Siurana"/>
    <s v="Can Codolar"/>
    <n v="35"/>
    <s v="35+"/>
    <x v="15"/>
    <s v="onsight"/>
  </r>
  <r>
    <n v="28"/>
    <s v="Apr"/>
    <x v="8"/>
    <s v="La mía"/>
    <s v="7a"/>
    <x v="0"/>
    <s v="Spain"/>
    <s v="Margalef"/>
    <s v="Culample 4"/>
    <n v="25"/>
    <s v="25-29"/>
    <x v="26"/>
    <s v="onsight"/>
  </r>
  <r>
    <n v="28"/>
    <s v="Apr"/>
    <x v="8"/>
    <s v="El Charlatán"/>
    <s v="7a+"/>
    <x v="1"/>
    <s v="Spain"/>
    <s v="Margalef"/>
    <s v="Culample 4"/>
    <n v="25"/>
    <s v="25-29"/>
    <x v="26"/>
    <n v="2"/>
  </r>
  <r>
    <n v="29"/>
    <s v="Apr"/>
    <x v="8"/>
    <s v="La forum de les postures"/>
    <s v="7a"/>
    <x v="0"/>
    <s v="Spain"/>
    <s v="Margalef"/>
    <s v="Cabernet"/>
    <n v="30"/>
    <s v="30-34"/>
    <x v="27"/>
    <s v="onsight"/>
  </r>
  <r>
    <n v="29"/>
    <s v="Apr"/>
    <x v="8"/>
    <s v="Mar de fons"/>
    <s v="7b"/>
    <x v="2"/>
    <s v="Spain"/>
    <s v="Margalef"/>
    <s v="Cabernet"/>
    <n v="10"/>
    <s v="10-14"/>
    <x v="26"/>
    <n v="3"/>
  </r>
  <r>
    <n v="26"/>
    <s v="May"/>
    <x v="8"/>
    <s v="Ladilla"/>
    <s v="7a"/>
    <x v="0"/>
    <s v="Spain"/>
    <s v="Sadernes"/>
    <s v="Castell s'Espasa dret"/>
    <n v="25"/>
    <s v="25-29"/>
    <x v="17"/>
    <s v="onsight"/>
  </r>
  <r>
    <n v="26"/>
    <s v="May"/>
    <x v="8"/>
    <s v="Calendra"/>
    <s v="7a+"/>
    <x v="1"/>
    <s v="Spain"/>
    <s v="Sadernes"/>
    <s v="Castell s'Espasa dret"/>
    <n v="25"/>
    <s v="25-29"/>
    <x v="17"/>
    <s v="onsight"/>
  </r>
  <r>
    <n v="10"/>
    <s v="Jun"/>
    <x v="8"/>
    <s v="Esgraons al cel"/>
    <s v="7a+"/>
    <x v="1"/>
    <s v="Spain"/>
    <s v="Montserrat norte"/>
    <s v="El prohibitivo"/>
    <n v="12"/>
    <s v="10-14"/>
    <x v="26"/>
    <s v="flash"/>
  </r>
  <r>
    <n v="24"/>
    <s v="Jun"/>
    <x v="8"/>
    <s v="Menganos"/>
    <s v="7a+"/>
    <x v="1"/>
    <s v="Spain"/>
    <s v="Montserrat sur"/>
    <s v="La Piula"/>
    <n v="25"/>
    <s v="25-29"/>
    <x v="26"/>
    <n v="2"/>
  </r>
  <r>
    <n v="10"/>
    <s v="Sep"/>
    <x v="8"/>
    <s v="Bisexual"/>
    <s v="7a"/>
    <x v="0"/>
    <s v="Spain"/>
    <s v="Mallorca"/>
    <s v="Cala Varques - Metrosexual"/>
    <n v="12"/>
    <s v="10-14"/>
    <x v="20"/>
    <n v="2"/>
  </r>
  <r>
    <n v="3"/>
    <s v="Nov"/>
    <x v="8"/>
    <s v="Salmoneti a contra corrent"/>
    <s v="7a"/>
    <x v="0"/>
    <s v="Spain"/>
    <s v="Siurana"/>
    <s v="Corral nou"/>
    <n v="22"/>
    <s v="20-24"/>
    <x v="22"/>
    <s v="onsight"/>
  </r>
  <r>
    <n v="3"/>
    <s v="Nov"/>
    <x v="8"/>
    <s v="Bocadillo de calamares en el km 0"/>
    <s v="7a+"/>
    <x v="1"/>
    <s v="Spain"/>
    <s v="Siurana"/>
    <s v="Corral nou"/>
    <n v="25"/>
    <s v="25-29"/>
    <x v="22"/>
    <n v="2"/>
  </r>
  <r>
    <n v="5"/>
    <s v="Apr"/>
    <x v="9"/>
    <s v="Fisuterapia"/>
    <s v="7a"/>
    <x v="0"/>
    <s v="Spain"/>
    <s v="Siurana"/>
    <s v="Herbolari"/>
    <n v="30"/>
    <s v="30-34"/>
    <x v="21"/>
    <n v="2"/>
  </r>
  <r>
    <n v="6"/>
    <s v="Apr"/>
    <x v="9"/>
    <s v="Cargol treu banya"/>
    <s v="7a"/>
    <x v="0"/>
    <s v="Spain"/>
    <s v="Siurana"/>
    <s v="L'Olla"/>
    <n v="13"/>
    <s v="10-14"/>
    <x v="21"/>
    <n v="2"/>
  </r>
  <r>
    <n v="14"/>
    <s v="Apr"/>
    <x v="9"/>
    <s v="Café del mar"/>
    <s v="7a+"/>
    <x v="1"/>
    <s v="Spain"/>
    <s v="Montserrat norte"/>
    <s v="El Casot"/>
    <n v="25"/>
    <s v="25-29"/>
    <x v="17"/>
    <s v="flash"/>
  </r>
  <r>
    <n v="22"/>
    <s v="Sep"/>
    <x v="9"/>
    <s v="Jihad"/>
    <s v="7a+"/>
    <x v="1"/>
    <s v="Spain"/>
    <s v="Montserrat norte"/>
    <s v="Cova de l'os"/>
    <n v="20"/>
    <s v="20-24"/>
    <x v="29"/>
    <n v="2"/>
  </r>
  <r>
    <n v="1"/>
    <s v="Nov"/>
    <x v="9"/>
    <s v="La Siberiana"/>
    <s v="7b"/>
    <x v="2"/>
    <s v="Spain"/>
    <s v="Siurana"/>
    <s v="Can Codolar"/>
    <n v="30"/>
    <s v="30-34"/>
    <x v="21"/>
    <n v="3"/>
  </r>
  <r>
    <n v="2"/>
    <s v="Nov"/>
    <x v="9"/>
    <s v="Tikis Mikis"/>
    <s v="7a"/>
    <x v="0"/>
    <s v="Spain"/>
    <s v="Siurana"/>
    <s v="Siuranella Centre"/>
    <n v="30"/>
    <s v="30-34"/>
    <x v="17"/>
    <n v="2"/>
  </r>
  <r>
    <n v="16"/>
    <s v="Nov"/>
    <x v="9"/>
    <s v="El ultimo poeta"/>
    <s v="7b"/>
    <x v="2"/>
    <s v="Spain"/>
    <s v="Margalef"/>
    <s v="La Mainadera"/>
    <n v="20"/>
    <s v="20-24"/>
    <x v="30"/>
    <n v="2"/>
  </r>
  <r>
    <n v="24"/>
    <s v="Aug"/>
    <x v="10"/>
    <s v="Cop de roc"/>
    <s v="7a+"/>
    <x v="1"/>
    <s v="Spain"/>
    <s v="Siurana"/>
    <s v="Can Codolar"/>
    <n v="35"/>
    <s v="35+"/>
    <x v="31"/>
    <n v="2"/>
  </r>
  <r>
    <n v="27"/>
    <s v="Aug"/>
    <x v="10"/>
    <s v="Avui si que no m'enganyes"/>
    <s v="7b"/>
    <x v="2"/>
    <s v="Spain"/>
    <s v="Siurana"/>
    <s v="Siuranella Este"/>
    <n v="22"/>
    <s v="20-24"/>
    <x v="30"/>
    <n v="6"/>
  </r>
  <r>
    <n v="20"/>
    <s v="Sep"/>
    <x v="10"/>
    <s v="No name num 93"/>
    <s v="7a+"/>
    <x v="1"/>
    <s v="Spain"/>
    <s v="Grau dels matxos"/>
    <s v="page 4"/>
    <n v="25"/>
    <s v="25-29"/>
    <x v="21"/>
    <s v="flash"/>
  </r>
  <r>
    <n v="24"/>
    <s v="Sep"/>
    <x v="10"/>
    <s v="El Trapella num 90"/>
    <s v="7b+"/>
    <x v="3"/>
    <s v="Spain"/>
    <s v="Grau dels matxos"/>
    <s v="page 4"/>
    <n v="25"/>
    <s v="25-29"/>
    <x v="21"/>
    <n v="4"/>
  </r>
  <r>
    <n v="24"/>
    <s v="Sep"/>
    <x v="10"/>
    <s v="El Drac"/>
    <s v="7a"/>
    <x v="0"/>
    <s v="Spain"/>
    <s v="Grau dels matxos"/>
    <s v="page 4"/>
    <n v="25"/>
    <s v="25-29"/>
    <x v="11"/>
    <s v="flash"/>
  </r>
  <r>
    <n v="26"/>
    <s v="Sep"/>
    <x v="10"/>
    <s v="Pota de bou"/>
    <s v="7a+"/>
    <x v="1"/>
    <s v="Spain"/>
    <s v="Grau dels matxos"/>
    <s v="page 6"/>
    <n v="25"/>
    <s v="25-29"/>
    <x v="28"/>
    <s v="onsight"/>
  </r>
  <r>
    <n v="17"/>
    <s v="Oct"/>
    <x v="10"/>
    <s v="Ni me n'entero"/>
    <s v="7a"/>
    <x v="0"/>
    <s v="Spain"/>
    <s v="Siurana"/>
    <s v="Ca la Isabel"/>
    <n v="20"/>
    <s v="20-24"/>
    <x v="21"/>
    <s v="onsight"/>
  </r>
  <r>
    <n v="18"/>
    <s v="Oct"/>
    <x v="10"/>
    <s v="ACDC"/>
    <s v="7b+"/>
    <x v="3"/>
    <s v="Spain"/>
    <s v="Siurana"/>
    <s v="Ca l'Onassis"/>
    <n v="28"/>
    <s v="25-29"/>
    <x v="17"/>
    <n v="4"/>
  </r>
  <r>
    <n v="24"/>
    <s v="Oct"/>
    <x v="10"/>
    <s v="?"/>
    <s v="7a"/>
    <x v="0"/>
    <s v="Spain"/>
    <s v="Siurana"/>
    <s v="Siuranella Este"/>
    <n v="30"/>
    <s v="30-34"/>
    <x v="30"/>
    <n v="2"/>
  </r>
  <r>
    <n v="25"/>
    <s v="Oct"/>
    <x v="10"/>
    <s v="No hi ha pa per tant xoriço"/>
    <s v="7a"/>
    <x v="0"/>
    <s v="Spain"/>
    <s v="Siurana"/>
    <s v="Grau dels Masets Baix"/>
    <n v="30"/>
    <s v="30-34"/>
    <x v="28"/>
    <s v="onsight"/>
  </r>
  <r>
    <n v="22"/>
    <s v="Apr"/>
    <x v="11"/>
    <s v="Remulo y romo"/>
    <s v="7a"/>
    <x v="0"/>
    <s v="Spain"/>
    <s v="Siurana"/>
    <s v="Can Melafots"/>
    <n v="18"/>
    <s v="15-19"/>
    <x v="32"/>
    <s v="onsight"/>
  </r>
  <r>
    <n v="23"/>
    <s v="Apr"/>
    <x v="11"/>
    <s v="La Morena de Montsant"/>
    <s v="7a+"/>
    <x v="1"/>
    <s v="Spain"/>
    <s v="Siurana"/>
    <s v="El Cargol"/>
    <n v="40"/>
    <s v="35+"/>
    <x v="33"/>
    <s v="onsight"/>
  </r>
  <r>
    <n v="24"/>
    <s v="Apr"/>
    <x v="11"/>
    <s v="Pako pintxo"/>
    <s v="7a"/>
    <x v="0"/>
    <s v="Spain"/>
    <s v="Siurana"/>
    <s v="Ca l'Orro"/>
    <n v="15"/>
    <s v="15-19"/>
    <x v="33"/>
    <n v="2"/>
  </r>
  <r>
    <n v="6"/>
    <s v="May"/>
    <x v="11"/>
    <s v="Clone Club"/>
    <s v="7a"/>
    <x v="0"/>
    <s v="Spain"/>
    <s v="Grau dels matxos"/>
    <s v="page 6"/>
    <n v="20"/>
    <s v="20-24"/>
    <x v="21"/>
    <s v="onsight"/>
  </r>
  <r>
    <n v="14"/>
    <s v="May"/>
    <x v="11"/>
    <s v="La Transformació"/>
    <s v="7a"/>
    <x v="0"/>
    <s v="Spain"/>
    <s v="Siurana"/>
    <s v="Grau dels Masets Esquerra"/>
    <n v="25"/>
    <s v="25-29"/>
    <x v="33"/>
    <n v="4"/>
  </r>
  <r>
    <n v="19"/>
    <s v="May"/>
    <x v="11"/>
    <s v="Alpha"/>
    <s v="7a"/>
    <x v="0"/>
    <s v="Spain"/>
    <s v="Grau dels matxos"/>
    <s v="page 3"/>
    <n v="20"/>
    <s v="20-24"/>
    <x v="33"/>
    <s v="flash"/>
  </r>
  <r>
    <n v="20"/>
    <s v="May"/>
    <x v="11"/>
    <s v="Mainada de plafó"/>
    <s v="7b"/>
    <x v="2"/>
    <s v="Spain"/>
    <s v="Grau dels matxos"/>
    <s v="page 2"/>
    <n v="20"/>
    <s v="20-24"/>
    <x v="21"/>
    <n v="5"/>
  </r>
  <r>
    <n v="27"/>
    <s v="May"/>
    <x v="11"/>
    <s v="No pasarán"/>
    <s v="7b"/>
    <x v="2"/>
    <s v="Spain"/>
    <s v="Grau dels matxos"/>
    <s v="page 2"/>
    <n v="16"/>
    <s v="15-19"/>
    <x v="21"/>
    <n v="6"/>
  </r>
  <r>
    <n v="29"/>
    <s v="May"/>
    <x v="11"/>
    <s v="Semen up"/>
    <s v="7a"/>
    <x v="0"/>
    <s v="Spain"/>
    <s v="Siurana"/>
    <s v="Siuranella Este"/>
    <n v="20"/>
    <s v="20-24"/>
    <x v="22"/>
    <s v="onsight"/>
  </r>
  <r>
    <n v="30"/>
    <s v="May"/>
    <x v="11"/>
    <s v="Daniel Taupin"/>
    <s v="7a+"/>
    <x v="1"/>
    <s v="Spain"/>
    <s v="Siurana"/>
    <s v="L'aparador"/>
    <n v="25"/>
    <s v="25-29"/>
    <x v="22"/>
    <n v="2"/>
  </r>
  <r>
    <n v="2"/>
    <s v="Jun"/>
    <x v="11"/>
    <s v="Tsunami"/>
    <s v="7a+"/>
    <x v="1"/>
    <s v="Spain"/>
    <s v="Grau dels matxos"/>
    <s v="El Sunyer"/>
    <n v="18"/>
    <s v="15-19"/>
    <x v="21"/>
    <s v="onsight"/>
  </r>
  <r>
    <n v="2"/>
    <s v="Jun"/>
    <x v="11"/>
    <s v="El Nas"/>
    <s v="7a"/>
    <x v="0"/>
    <s v="Spain"/>
    <s v="Grau dels matxos"/>
    <s v="El Sunyer"/>
    <n v="18"/>
    <s v="15-19"/>
    <x v="21"/>
    <n v="2"/>
  </r>
  <r>
    <n v="13"/>
    <s v="Jun"/>
    <x v="11"/>
    <s v="Bous i Esquellets"/>
    <s v="7c"/>
    <x v="4"/>
    <s v="Spain"/>
    <s v="Grau dels matxos"/>
    <s v="El Sunyer"/>
    <n v="22"/>
    <s v="20-24"/>
    <x v="34"/>
    <n v="7"/>
  </r>
  <r>
    <n v="20"/>
    <s v="Jun"/>
    <x v="11"/>
    <s v="Las orelles del llop"/>
    <s v="7a+"/>
    <x v="1"/>
    <s v="Spain"/>
    <s v="Grau dels matxos"/>
    <s v="El Sunyer"/>
    <n v="18"/>
    <s v="15-19"/>
    <x v="32"/>
    <s v="onsight"/>
  </r>
  <r>
    <n v="20"/>
    <s v="Jun"/>
    <x v="11"/>
    <s v="Emboirats"/>
    <s v="7b"/>
    <x v="2"/>
    <s v="Spain"/>
    <s v="Grau dels matxos"/>
    <s v="El Sunyer"/>
    <n v="18"/>
    <s v="15-19"/>
    <x v="32"/>
    <s v="onsight"/>
  </r>
  <r>
    <n v="24"/>
    <s v="Jun"/>
    <x v="11"/>
    <s v="Tiramilles"/>
    <s v="7a+"/>
    <x v="1"/>
    <s v="Spain"/>
    <s v="Grau dels matxos"/>
    <s v="El Sunyer"/>
    <n v="18"/>
    <s v="15-19"/>
    <x v="21"/>
    <n v="2"/>
  </r>
  <r>
    <n v="14"/>
    <s v="Nov"/>
    <x v="11"/>
    <s v="Sac de Gemecs"/>
    <s v="7a"/>
    <x v="0"/>
    <s v="Spain"/>
    <s v="Siurana"/>
    <s v="Grau dels Masets Baix"/>
    <n v="25"/>
    <s v="25-29"/>
    <x v="32"/>
    <s v="onsight"/>
  </r>
  <r>
    <n v="30"/>
    <s v="Jan"/>
    <x v="12"/>
    <s v="Ventolera Cosmica"/>
    <s v="7c+"/>
    <x v="5"/>
    <s v="Spain"/>
    <s v="Gelida"/>
    <s v="Centre"/>
    <n v="20"/>
    <s v="20-24"/>
    <x v="21"/>
    <n v="50"/>
  </r>
  <r>
    <n v="10"/>
    <s v="Feb"/>
    <x v="12"/>
    <s v="LSD"/>
    <s v="7a"/>
    <x v="0"/>
    <s v="Spain"/>
    <s v="Penyes Aragonesas (Castellón)"/>
    <s v="La ciudad perdida de Muchapicha"/>
    <n v="15"/>
    <s v="15-19"/>
    <x v="25"/>
    <s v="onsight"/>
  </r>
  <r>
    <n v="11"/>
    <s v="Feb"/>
    <x v="12"/>
    <s v="Blue agave"/>
    <s v="7a"/>
    <x v="0"/>
    <s v="Spain"/>
    <s v="Chulilla"/>
    <s v="Muro de lamentaciones"/>
    <n v="35"/>
    <s v="35+"/>
    <x v="25"/>
    <s v="flash"/>
  </r>
  <r>
    <n v="12"/>
    <s v="Feb"/>
    <x v="12"/>
    <s v="Dumbo love"/>
    <s v="7a"/>
    <x v="0"/>
    <s v="Spain"/>
    <s v="Chulilla"/>
    <s v="Tierra de Nadie"/>
    <n v="20"/>
    <s v="20-24"/>
    <x v="25"/>
    <s v="onsight"/>
  </r>
  <r>
    <n v="13"/>
    <s v="Feb"/>
    <x v="12"/>
    <s v="El Magnate del tomate"/>
    <s v="7a+"/>
    <x v="1"/>
    <s v="Spain"/>
    <s v="Chulilla"/>
    <s v="Chorreras"/>
    <n v="35"/>
    <s v="35+"/>
    <x v="35"/>
    <s v="onsight"/>
  </r>
  <r>
    <n v="17"/>
    <s v="Mar"/>
    <x v="12"/>
    <s v="SPUF"/>
    <s v="7a"/>
    <x v="0"/>
    <s v="Portugal"/>
    <s v="Fenda de Arrabida"/>
    <s v="Carallon"/>
    <n v="20"/>
    <s v="20-24"/>
    <x v="36"/>
    <s v="onsight"/>
  </r>
  <r>
    <n v="25"/>
    <s v="May"/>
    <x v="12"/>
    <s v="Revelhao"/>
    <s v="7a"/>
    <x v="0"/>
    <s v="Portugal"/>
    <s v="Atlantida"/>
    <s v="Gaivotas"/>
    <n v="23"/>
    <s v="20-24"/>
    <x v="37"/>
    <n v="3"/>
  </r>
  <r>
    <n v="10"/>
    <s v="Jun"/>
    <x v="12"/>
    <s v="Arseniac"/>
    <s v="7a"/>
    <x v="0"/>
    <s v="Spain"/>
    <s v="Arbolí"/>
    <s v="L'Obaga"/>
    <n v="23"/>
    <s v="20-24"/>
    <x v="26"/>
    <s v="onsight"/>
  </r>
  <r>
    <n v="17"/>
    <s v="Jun"/>
    <x v="12"/>
    <m/>
    <s v="7a+"/>
    <x v="1"/>
    <s v="Spain"/>
    <s v="Cavallers"/>
    <s v="Kaos"/>
    <n v="15"/>
    <s v="15-19"/>
    <x v="26"/>
    <n v="3"/>
  </r>
  <r>
    <n v="16"/>
    <s v="Jul"/>
    <x v="12"/>
    <s v="L'âge de cristal"/>
    <s v="7a"/>
    <x v="0"/>
    <s v="France"/>
    <s v="Le Fayet"/>
    <s v="Thermes"/>
    <n v="16"/>
    <s v="15-19"/>
    <x v="38"/>
    <n v="2"/>
  </r>
  <r>
    <n v="23"/>
    <s v="Jul"/>
    <x v="12"/>
    <s v="La Haine"/>
    <s v="7a+"/>
    <x v="1"/>
    <s v="France"/>
    <s v="Le Coupeau"/>
    <s v="Right"/>
    <n v="16"/>
    <s v="15-19"/>
    <x v="39"/>
    <n v="2"/>
  </r>
  <r>
    <n v="24"/>
    <s v="Jul"/>
    <x v="12"/>
    <s v="Doigts de fée pour un cœur de lion"/>
    <s v="7a+"/>
    <x v="1"/>
    <s v="France"/>
    <s v="Le Coupeau"/>
    <s v="Left"/>
    <n v="16"/>
    <s v="15-19"/>
    <x v="39"/>
    <n v="2"/>
  </r>
  <r>
    <n v="4"/>
    <s v="Sep"/>
    <x v="12"/>
    <s v="Combat des chefs"/>
    <s v="7a+"/>
    <x v="1"/>
    <s v="France"/>
    <s v="Roc d'Anglars"/>
    <s v="Plan Plan"/>
    <n v="27"/>
    <s v="25-29"/>
    <x v="2"/>
    <n v="5"/>
  </r>
  <r>
    <n v="8"/>
    <s v="Oct"/>
    <x v="12"/>
    <s v="Schuh des Manitou "/>
    <s v="7a"/>
    <x v="0"/>
    <s v="Austria"/>
    <s v="Zillertal - Ewige Jagdgründe"/>
    <s v="Wam"/>
    <n v="20"/>
    <s v="20-24"/>
    <x v="40"/>
    <s v="onsight"/>
  </r>
  <r>
    <n v="8"/>
    <s v="Oct"/>
    <x v="12"/>
    <s v="Maracuja"/>
    <s v="7a"/>
    <x v="0"/>
    <s v="Austria"/>
    <s v="Zillertal - Ewige Jagdgründe"/>
    <s v="Wig"/>
    <n v="18"/>
    <s v="15-19"/>
    <x v="40"/>
    <s v="onsight"/>
  </r>
  <r>
    <n v="1"/>
    <s v="Nov"/>
    <x v="12"/>
    <s v="It's Easy"/>
    <s v="7a+"/>
    <x v="1"/>
    <s v="Austria"/>
    <s v="Martinswand"/>
    <s v="Dschungelbuch Hauptteil"/>
    <n v="15"/>
    <s v="15-19"/>
    <x v="41"/>
    <n v="3"/>
  </r>
  <r>
    <n v="5"/>
    <s v="Nov"/>
    <x v="12"/>
    <s v="Kotitscha"/>
    <s v="7a"/>
    <x v="0"/>
    <s v="Austria"/>
    <s v="Martinswand"/>
    <s v="Dschungelbuch Hauptteil"/>
    <n v="20"/>
    <s v="20-24"/>
    <x v="41"/>
    <s v="onsight"/>
  </r>
  <r>
    <n v="12"/>
    <s v="Nov"/>
    <x v="12"/>
    <s v="Blitzaktion"/>
    <s v="7a"/>
    <x v="0"/>
    <s v="Austria"/>
    <s v="Ötztal"/>
    <s v="Engelswand"/>
    <n v="12"/>
    <s v="10-14"/>
    <x v="41"/>
    <n v="2"/>
  </r>
  <r>
    <n v="19"/>
    <s v="Nov"/>
    <x v="12"/>
    <s v="Blockparty"/>
    <s v="7a"/>
    <x v="0"/>
    <s v="Italy"/>
    <s v="Unterinn"/>
    <m/>
    <n v="10"/>
    <s v="10-14"/>
    <x v="41"/>
    <n v="4"/>
  </r>
  <r>
    <n v="6"/>
    <s v="Feb"/>
    <x v="13"/>
    <s v="?"/>
    <s v="7a"/>
    <x v="0"/>
    <s v="Spain"/>
    <s v="Siurana"/>
    <s v="L'Herbolari"/>
    <n v="15"/>
    <s v="15-19"/>
    <x v="25"/>
    <n v="2"/>
  </r>
  <r>
    <n v="9"/>
    <s v="Feb"/>
    <x v="13"/>
    <s v="L'esquitx"/>
    <s v="7a"/>
    <x v="0"/>
    <s v="Spain"/>
    <s v="Siurana"/>
    <s v="Can Toni Gros"/>
    <n v="18"/>
    <s v="15-19"/>
    <x v="41"/>
    <s v="flash"/>
  </r>
  <r>
    <n v="9"/>
    <s v="Feb"/>
    <x v="13"/>
    <s v="Jugant amb foc"/>
    <s v="7a"/>
    <x v="0"/>
    <s v="Spain"/>
    <s v="Siurana"/>
    <s v="Can Toni Gros"/>
    <n v="25"/>
    <s v="25-29"/>
    <x v="40"/>
    <n v="2"/>
  </r>
  <r>
    <n v="10"/>
    <s v="Feb"/>
    <x v="13"/>
    <s v="Kun"/>
    <s v="7a"/>
    <x v="0"/>
    <s v="Spain"/>
    <s v="Siurana"/>
    <s v="Siuranella Centre"/>
    <n v="28"/>
    <s v="25-29"/>
    <x v="40"/>
    <s v="flash"/>
  </r>
  <r>
    <n v="10"/>
    <s v="Feb"/>
    <x v="13"/>
    <s v="Mort de gana"/>
    <s v="7a"/>
    <x v="0"/>
    <s v="Spain"/>
    <s v="Siurana"/>
    <s v="Siuranella Centre"/>
    <n v="20"/>
    <s v="20-24"/>
    <x v="25"/>
    <n v="2"/>
  </r>
  <r>
    <n v="11"/>
    <s v="Feb"/>
    <x v="13"/>
    <s v="Enganyapardals"/>
    <s v="7a"/>
    <x v="0"/>
    <s v="Spain"/>
    <s v="Siurana"/>
    <s v="Siuranella Centre"/>
    <n v="28"/>
    <s v="25-29"/>
    <x v="40"/>
    <s v="onsight"/>
  </r>
  <r>
    <n v="19"/>
    <s v="Feb"/>
    <x v="13"/>
    <s v="Fumanchu"/>
    <s v="7a+"/>
    <x v="1"/>
    <s v="Spain"/>
    <s v="Siurana"/>
    <s v="Négociée"/>
    <n v="18"/>
    <s v="15-19"/>
    <x v="25"/>
    <n v="2"/>
  </r>
  <r>
    <n v="19"/>
    <s v="Feb"/>
    <x v="13"/>
    <s v="Permagel"/>
    <s v="7a"/>
    <x v="0"/>
    <s v="Spain"/>
    <s v="Siurana"/>
    <s v="Siuranella Este"/>
    <n v="25"/>
    <s v="25-29"/>
    <x v="41"/>
    <n v="2"/>
  </r>
  <r>
    <n v="22"/>
    <s v="Feb"/>
    <x v="13"/>
    <s v="Marxuquera"/>
    <s v="7a"/>
    <x v="0"/>
    <s v="Spain"/>
    <s v="Marxuquera"/>
    <s v="Potente"/>
    <n v="18"/>
    <s v="15-19"/>
    <x v="42"/>
    <s v="onsight"/>
  </r>
  <r>
    <n v="26"/>
    <s v="Feb"/>
    <x v="13"/>
    <s v="Mikel"/>
    <s v="7a"/>
    <x v="0"/>
    <s v="Spain"/>
    <s v="Chulilla"/>
    <s v="Cherales Grande"/>
    <n v="30"/>
    <s v="30-34"/>
    <x v="33"/>
    <s v="onsight"/>
  </r>
  <r>
    <n v="26"/>
    <s v="Feb"/>
    <x v="13"/>
    <s v="Y un cacau más"/>
    <s v="7a"/>
    <x v="0"/>
    <s v="Spain"/>
    <s v="Chulilla"/>
    <s v="Cherales Grande"/>
    <n v="25"/>
    <s v="25-29"/>
    <x v="25"/>
    <s v="flash"/>
  </r>
  <r>
    <n v="27"/>
    <s v="Feb"/>
    <x v="13"/>
    <s v="Hijos de Caín"/>
    <s v="7a"/>
    <x v="0"/>
    <s v="Spain"/>
    <s v="Chulilla"/>
    <s v="Perros"/>
    <n v="16"/>
    <s v="15-19"/>
    <x v="43"/>
    <s v="onsight"/>
  </r>
  <r>
    <n v="24"/>
    <s v="Mar"/>
    <x v="13"/>
    <s v="Wunderbare Welt der Schwerkraft "/>
    <s v="7a"/>
    <x v="0"/>
    <s v="Austria"/>
    <s v="Martinswand"/>
    <s v="Wunderbare Welt"/>
    <n v="22"/>
    <s v="20-24"/>
    <x v="44"/>
    <s v="flash"/>
  </r>
  <r>
    <n v="27"/>
    <s v="May"/>
    <x v="13"/>
    <s v="Secret Garden"/>
    <s v="7a"/>
    <x v="0"/>
    <s v="Austria"/>
    <s v="Berglsteinersee"/>
    <s v="Secret Garden"/>
    <n v="15"/>
    <s v="15-19"/>
    <x v="41"/>
    <n v="2"/>
  </r>
  <r>
    <n v="17"/>
    <s v="Jun"/>
    <x v="13"/>
    <s v="Bold Man"/>
    <s v="7a"/>
    <x v="0"/>
    <s v="Austria"/>
    <s v="Hundepension"/>
    <s v="Knappenwand"/>
    <n v="18"/>
    <s v="15-19"/>
    <x v="41"/>
    <n v="2"/>
  </r>
  <r>
    <n v="3"/>
    <s v="Jul"/>
    <x v="13"/>
    <s v="Verschneidung links"/>
    <s v="7a"/>
    <x v="0"/>
    <s v="Austria"/>
    <s v="Zillertal - Astholz"/>
    <s v="Astholz"/>
    <n v="20"/>
    <s v="20-24"/>
    <x v="45"/>
    <n v="2"/>
  </r>
  <r>
    <n v="3"/>
    <s v="Jul"/>
    <x v="13"/>
    <s v="Gebi Crack"/>
    <s v="7a"/>
    <x v="0"/>
    <s v="Austria"/>
    <s v="Zillertal - Astholz"/>
    <s v="Astholz"/>
    <n v="10"/>
    <s v="10-14"/>
    <x v="45"/>
    <n v="2"/>
  </r>
  <r>
    <n v="3"/>
    <s v="Jul"/>
    <x v="13"/>
    <s v="Was nicht passt wird passend gemacht"/>
    <s v="7a"/>
    <x v="0"/>
    <s v="Austria"/>
    <s v="Zillertal - Astholz"/>
    <s v="Astholz"/>
    <n v="20"/>
    <s v="20-24"/>
    <x v="45"/>
    <n v="2"/>
  </r>
  <r>
    <n v="17"/>
    <s v="Sep"/>
    <x v="13"/>
    <s v="Dödl up"/>
    <s v="7a"/>
    <x v="0"/>
    <s v="Austria"/>
    <s v="Hundepension"/>
    <s v="Knappenwand"/>
    <n v="12"/>
    <s v="10-14"/>
    <x v="44"/>
    <n v="3"/>
  </r>
  <r>
    <n v="28"/>
    <s v="Oct"/>
    <x v="13"/>
    <s v="Hokus Pokus"/>
    <s v="7a"/>
    <x v="0"/>
    <s v="Austria"/>
    <s v="Ötztal"/>
    <s v="Ötz"/>
    <n v="18"/>
    <s v="15-19"/>
    <x v="46"/>
    <n v="2"/>
  </r>
  <r>
    <n v="4"/>
    <s v="Nov"/>
    <x v="13"/>
    <s v="Tiramisu"/>
    <s v="7a"/>
    <x v="0"/>
    <s v="Austria"/>
    <s v="Starkenbach"/>
    <s v="Herbstwind"/>
    <n v="15"/>
    <s v="15-19"/>
    <x v="46"/>
    <n v="2"/>
  </r>
  <r>
    <n v="4"/>
    <s v="Nov"/>
    <x v="13"/>
    <s v="Türkischer Kaffee"/>
    <s v="7a"/>
    <x v="0"/>
    <s v="Austria"/>
    <s v="Starkenbach"/>
    <s v="Herbstwind"/>
    <n v="10"/>
    <s v="10-14"/>
    <x v="46"/>
    <n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D461478-45E1-46A8-BAF1-A78B55E57B6B}" name="PivotTable22" cacheId="99" applyNumberFormats="0" applyBorderFormats="0" applyFontFormats="0" applyPatternFormats="0" applyAlignmentFormats="0" applyWidthHeightFormats="1" dataCaption="Values" tag="339ec8ee-5db3-4392-9937-3fe0c7072333" updatedVersion="8" minRefreshableVersion="3" useAutoFormatting="1" subtotalHiddenItems="1" itemPrintTitles="1" createdVersion="8" indent="0" outline="1" outlineData="1" multipleFieldFilters="0" chartFormat="6">
  <location ref="M12:N26" firstHeaderRow="1" firstDataRow="1" firstDataCol="1"/>
  <pivotFields count="3">
    <pivotField axis="axisRow" allDrilled="1" subtotalTop="0" showAll="0" sortType="de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4">
    <i>
      <x v="3"/>
    </i>
    <i>
      <x v="12"/>
    </i>
    <i>
      <x v="11"/>
    </i>
    <i>
      <x v="4"/>
    </i>
    <i>
      <x v="5"/>
    </i>
    <i>
      <x v="6"/>
    </i>
    <i>
      <x v="8"/>
    </i>
    <i>
      <x v="9"/>
    </i>
    <i>
      <x/>
    </i>
    <i>
      <x v="10"/>
    </i>
    <i>
      <x v="7"/>
    </i>
    <i>
      <x v="1"/>
    </i>
    <i>
      <x v="2"/>
    </i>
    <i t="grand">
      <x/>
    </i>
  </rowItems>
  <colItems count="1">
    <i/>
  </colItems>
  <dataFields count="1">
    <dataField name="Count of Belayer" fld="1" subtotal="count" baseField="0" baseItem="0"/>
  </dataFields>
  <chartFormats count="1">
    <chartFormat chart="2" format="2" series="1">
      <pivotArea type="data" outline="0" fieldPosition="0">
        <references count="1">
          <reference field="4294967294" count="1" selected="0">
            <x v="0"/>
          </reference>
        </references>
      </pivotArea>
    </chartFormat>
  </chartFormats>
  <pivotHierarchies count="2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portClimbing]"/>
        <x15:activeTabTopLevelEntity name="[Yea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DBC98BF-9FE9-4BAE-977B-1E0A69F19EA2}" name="PivotTable6" cacheId="10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4">
  <location ref="A11:B18" firstHeaderRow="1" firstDataRow="1" firstDataCol="1"/>
  <pivotFields count="3">
    <pivotField dataField="1" subtotalTop="0" showAll="0" defaultSubtotal="0"/>
    <pivotField axis="axisRow" allDrilled="1" subtotalTop="0" showAll="0" sortType="ascending" defaultSubtotal="0" defaultAttributeDrillState="1">
      <items count="6">
        <item x="0"/>
        <item x="1"/>
        <item x="2"/>
        <item x="3"/>
        <item x="4"/>
        <item x="5"/>
      </items>
    </pivotField>
    <pivotField allDrilled="1" subtotalTop="0" showAll="0" dataSourceSort="1" defaultSubtotal="0" defaultAttributeDrillState="1"/>
  </pivotFields>
  <rowFields count="1">
    <field x="1"/>
  </rowFields>
  <rowItems count="7">
    <i>
      <x/>
    </i>
    <i>
      <x v="1"/>
    </i>
    <i>
      <x v="2"/>
    </i>
    <i>
      <x v="3"/>
    </i>
    <i>
      <x v="4"/>
    </i>
    <i>
      <x v="5"/>
    </i>
    <i t="grand">
      <x/>
    </i>
  </rowItems>
  <colItems count="1">
    <i/>
  </colItems>
  <dataFields count="1">
    <dataField name="Count of Belayer" fld="0" subtotal="count" baseField="0" baseItem="0"/>
  </dataFields>
  <chartFormats count="2">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Hierarchies count="2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portClimbing]"/>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7E1BAAD-EE71-4690-8C7C-3D8BD3C5AED4}" name="PivotTable20" cacheId="93" applyNumberFormats="0" applyBorderFormats="0" applyFontFormats="0" applyPatternFormats="0" applyAlignmentFormats="0" applyWidthHeightFormats="1" dataCaption="Values" tag="7775fffd-05a1-4d79-ab60-57ce118678dd" updatedVersion="8" minRefreshableVersion="3" visualTotals="0" useAutoFormatting="1" subtotalHiddenItems="1" itemPrintTitles="1" createdVersion="8" indent="0" outline="1" outlineData="1" multipleFieldFilters="0" chartFormat="6">
  <location ref="G1:H12" firstHeaderRow="1" firstDataRow="1" firstDataCol="1"/>
  <pivotFields count="3">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9"/>
    </i>
    <i>
      <x v="5"/>
    </i>
    <i>
      <x v="1"/>
    </i>
    <i>
      <x v="4"/>
    </i>
    <i>
      <x/>
    </i>
    <i>
      <x v="3"/>
    </i>
    <i>
      <x v="7"/>
    </i>
    <i>
      <x v="2"/>
    </i>
    <i>
      <x v="6"/>
    </i>
    <i>
      <x v="8"/>
    </i>
    <i t="grand">
      <x/>
    </i>
  </rowItems>
  <colItems count="1">
    <i/>
  </colItems>
  <dataFields count="1">
    <dataField name="Sends per crag" fld="1" subtotal="count" baseField="0" baseItem="0"/>
  </dataFields>
  <chartFormats count="3">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2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Sends per crag"/>
  </pivotHierarchies>
  <pivotTableStyleInfo name="PivotStyleLight16" showRowHeaders="1" showColHeaders="1" showRowStripes="0" showColStripes="0" showLastColumn="1"/>
  <filters count="1">
    <filter fld="0" type="count" id="2" iMeasureHier="20">
      <autoFilter ref="A1">
        <filterColumn colId="0">
          <top10 val="10" filterVal="10"/>
        </filterColumn>
      </autoFilter>
    </filter>
  </filters>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portClimbing]"/>
        <x15:activeTabTopLevelEntity name="[Yea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7635E00-C4E9-4684-9284-60BF4B132C5C}" name="PivotTable17" cacheId="84" applyNumberFormats="0" applyBorderFormats="0" applyFontFormats="0" applyPatternFormats="0" applyAlignmentFormats="0" applyWidthHeightFormats="1" dataCaption="Values" tag="75b26e15-1250-4053-b299-fa9d58991114" updatedVersion="8" minRefreshableVersion="3" visualTotals="0" useAutoFormatting="1" subtotalHiddenItems="1" itemPrintTitles="1" createdVersion="8" indent="0" outline="1" outlineData="1" chartFormat="6">
  <location ref="A33:B39" firstHeaderRow="1" firstDataRow="1" firstDataCol="1"/>
  <pivotFields count="3">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6">
    <i>
      <x v="1"/>
    </i>
    <i>
      <x v="3"/>
    </i>
    <i>
      <x v="4"/>
    </i>
    <i>
      <x v="2"/>
    </i>
    <i>
      <x/>
    </i>
    <i t="grand">
      <x/>
    </i>
  </rowItems>
  <colItems count="1">
    <i/>
  </colItems>
  <dataFields count="1">
    <dataField name="Count of Belayer" fld="1" subtotal="count" baseField="0" baseItem="0"/>
  </dataFields>
  <chartFormats count="1">
    <chartFormat chart="2" format="8" series="1">
      <pivotArea type="data" outline="0" fieldPosition="0">
        <references count="1">
          <reference field="4294967294" count="1" selected="0">
            <x v="0"/>
          </reference>
        </references>
      </pivotArea>
    </chartFormat>
  </chartFormats>
  <pivotHierarchies count="2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Sends per belayer"/>
  </pivotHierarchies>
  <pivotTableStyleInfo name="PivotStyleLight16" showRowHeaders="1" showColHeaders="1" showRowStripes="0" showColStripes="0" showLastColumn="1"/>
  <filters count="1">
    <filter fld="0" type="count" id="1" iMeasureHier="20">
      <autoFilter ref="A1">
        <filterColumn colId="0">
          <top10 val="5" filterVal="5"/>
        </filterColumn>
      </autoFilter>
    </filter>
  </filters>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portClimbing]"/>
        <x15:activeTabTopLevelEntity name="[Yea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069F412-D0C8-4312-8E2F-9F2AB827AC65}" name="PivotTable21" cacheId="96" applyNumberFormats="0" applyBorderFormats="0" applyFontFormats="0" applyPatternFormats="0" applyAlignmentFormats="0" applyWidthHeightFormats="1" dataCaption="Values" tag="0f7bc240-192b-4515-a378-6001f0216c37" updatedVersion="8" minRefreshableVersion="3" useAutoFormatting="1" subtotalHiddenItems="1" itemPrintTitles="1" createdVersion="8" indent="0" outline="1" outlineData="1" multipleFieldFilters="0" chartFormat="3">
  <location ref="M2:N8" firstHeaderRow="1" firstDataRow="1" firstDataCol="1"/>
  <pivotFields count="3">
    <pivotField axis="axisRow" allDrilled="1" subtotalTop="0" showAll="0"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6">
    <i>
      <x v="4"/>
    </i>
    <i>
      <x/>
    </i>
    <i>
      <x v="1"/>
    </i>
    <i>
      <x v="3"/>
    </i>
    <i>
      <x v="2"/>
    </i>
    <i t="grand">
      <x/>
    </i>
  </rowItems>
  <colItems count="1">
    <i/>
  </colItems>
  <dataFields count="1">
    <dataField name="Count of Belayer" fld="1" subtotal="count" baseField="0" baseItem="0"/>
  </dataFields>
  <chartFormats count="6">
    <chartFormat chart="2" format="7" series="1">
      <pivotArea type="data" outline="0" fieldPosition="0">
        <references count="1">
          <reference field="4294967294" count="1" selected="0">
            <x v="0"/>
          </reference>
        </references>
      </pivotArea>
    </chartFormat>
    <chartFormat chart="2" format="8">
      <pivotArea type="data" outline="0" fieldPosition="0">
        <references count="2">
          <reference field="4294967294" count="1" selected="0">
            <x v="0"/>
          </reference>
          <reference field="0" count="1" selected="0">
            <x v="0"/>
          </reference>
        </references>
      </pivotArea>
    </chartFormat>
    <chartFormat chart="2" format="9">
      <pivotArea type="data" outline="0" fieldPosition="0">
        <references count="2">
          <reference field="4294967294" count="1" selected="0">
            <x v="0"/>
          </reference>
          <reference field="0" count="1" selected="0">
            <x v="1"/>
          </reference>
        </references>
      </pivotArea>
    </chartFormat>
    <chartFormat chart="2" format="10">
      <pivotArea type="data" outline="0" fieldPosition="0">
        <references count="2">
          <reference field="4294967294" count="1" selected="0">
            <x v="0"/>
          </reference>
          <reference field="0" count="1" selected="0">
            <x v="2"/>
          </reference>
        </references>
      </pivotArea>
    </chartFormat>
    <chartFormat chart="2" format="11">
      <pivotArea type="data" outline="0" fieldPosition="0">
        <references count="2">
          <reference field="4294967294" count="1" selected="0">
            <x v="0"/>
          </reference>
          <reference field="0" count="1" selected="0">
            <x v="3"/>
          </reference>
        </references>
      </pivotArea>
    </chartFormat>
    <chartFormat chart="2" format="12">
      <pivotArea type="data" outline="0" fieldPosition="0">
        <references count="2">
          <reference field="4294967294" count="1" selected="0">
            <x v="0"/>
          </reference>
          <reference field="0" count="1" selected="0">
            <x v="4"/>
          </reference>
        </references>
      </pivotArea>
    </chartFormat>
  </chartFormats>
  <pivotHierarchies count="2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portClimbing]"/>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5526720-4D3C-400F-BE07-2D8E7DB2B738}"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4:B55" firstHeaderRow="1" firstDataRow="1" firstDataCol="1"/>
  <pivotFields count="13">
    <pivotField showAll="0"/>
    <pivotField showAll="0"/>
    <pivotField showAll="0"/>
    <pivotField showAll="0"/>
    <pivotField showAll="0"/>
    <pivotField dataField="1" showAll="0"/>
    <pivotField showAll="0"/>
    <pivotField showAll="0"/>
    <pivotField showAll="0"/>
    <pivotField showAll="0"/>
    <pivotField showAll="0"/>
    <pivotField axis="axisRow" showAll="0" measureFilter="1" sortType="descending">
      <items count="48">
        <item x="37"/>
        <item x="6"/>
        <item x="22"/>
        <item x="29"/>
        <item x="45"/>
        <item x="33"/>
        <item x="46"/>
        <item x="7"/>
        <item x="41"/>
        <item x="39"/>
        <item x="12"/>
        <item x="9"/>
        <item x="5"/>
        <item x="35"/>
        <item x="11"/>
        <item x="0"/>
        <item x="17"/>
        <item x="21"/>
        <item x="15"/>
        <item x="13"/>
        <item x="30"/>
        <item x="10"/>
        <item x="40"/>
        <item x="23"/>
        <item x="28"/>
        <item x="26"/>
        <item x="38"/>
        <item x="43"/>
        <item x="31"/>
        <item x="25"/>
        <item x="32"/>
        <item x="8"/>
        <item x="14"/>
        <item x="42"/>
        <item x="4"/>
        <item x="24"/>
        <item x="34"/>
        <item x="3"/>
        <item x="2"/>
        <item x="1"/>
        <item x="44"/>
        <item x="19"/>
        <item x="27"/>
        <item x="36"/>
        <item x="20"/>
        <item x="18"/>
        <item x="16"/>
        <item t="default"/>
      </items>
      <autoSortScope>
        <pivotArea dataOnly="0" outline="0" fieldPosition="0">
          <references count="1">
            <reference field="4294967294" count="1" selected="0">
              <x v="0"/>
            </reference>
          </references>
        </pivotArea>
      </autoSortScope>
    </pivotField>
    <pivotField showAll="0"/>
  </pivotFields>
  <rowFields count="1">
    <field x="11"/>
  </rowFields>
  <rowItems count="11">
    <i>
      <x v="17"/>
    </i>
    <i>
      <x v="46"/>
    </i>
    <i>
      <x v="29"/>
    </i>
    <i>
      <x v="25"/>
    </i>
    <i>
      <x v="16"/>
    </i>
    <i>
      <x v="34"/>
    </i>
    <i>
      <x v="7"/>
    </i>
    <i>
      <x v="8"/>
    </i>
    <i>
      <x v="2"/>
    </i>
    <i>
      <x v="21"/>
    </i>
    <i t="grand">
      <x/>
    </i>
  </rowItems>
  <colItems count="1">
    <i/>
  </colItems>
  <dataFields count="1">
    <dataField name="Sum of Score" fld="5" baseField="0" baseItem="0"/>
  </dataFields>
  <pivotTableStyleInfo name="PivotStyleLight16" showRowHeaders="1" showColHeaders="1" showRowStripes="0" showColStripes="0" showLastColumn="1"/>
  <filters count="1">
    <filter fld="1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2683C3-689D-44D3-BBB0-36623980704B}" name="PivotTable4" cacheId="10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B8" firstHeaderRow="1" firstDataRow="1" firstDataCol="1"/>
  <pivotFields count="3">
    <pivotField axis="axisRow" allDrilled="1" subtotalTop="0" showAll="0" dataSourceSort="1" defaultSubtotal="0" defaultAttributeDrillState="1">
      <items count="6">
        <item x="0"/>
        <item x="1"/>
        <item x="2"/>
        <item x="3"/>
        <item x="4"/>
        <item x="5"/>
      </items>
    </pivotField>
    <pivotField dataField="1" subtotalTop="0" showAll="0" defaultSubtotal="0"/>
    <pivotField allDrilled="1" subtotalTop="0" showAll="0" dataSourceSort="1" defaultSubtotal="0" defaultAttributeDrillState="1"/>
  </pivotFields>
  <rowFields count="1">
    <field x="0"/>
  </rowFields>
  <rowItems count="7">
    <i>
      <x/>
    </i>
    <i>
      <x v="1"/>
    </i>
    <i>
      <x v="2"/>
    </i>
    <i>
      <x v="3"/>
    </i>
    <i>
      <x v="4"/>
    </i>
    <i>
      <x v="5"/>
    </i>
    <i t="grand">
      <x/>
    </i>
  </rowItems>
  <colItems count="1">
    <i/>
  </colItems>
  <dataFields count="1">
    <dataField name="Count of Belayer" fld="1" subtotal="count" baseField="0" baseItem="0"/>
  </dataFields>
  <chartFormats count="14">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0" count="1" selected="0">
            <x v="0"/>
          </reference>
        </references>
      </pivotArea>
    </chartFormat>
    <chartFormat chart="1" format="3">
      <pivotArea type="data" outline="0" fieldPosition="0">
        <references count="2">
          <reference field="4294967294" count="1" selected="0">
            <x v="0"/>
          </reference>
          <reference field="0" count="1" selected="0">
            <x v="1"/>
          </reference>
        </references>
      </pivotArea>
    </chartFormat>
    <chartFormat chart="1" format="4">
      <pivotArea type="data" outline="0" fieldPosition="0">
        <references count="2">
          <reference field="4294967294" count="1" selected="0">
            <x v="0"/>
          </reference>
          <reference field="0" count="1" selected="0">
            <x v="2"/>
          </reference>
        </references>
      </pivotArea>
    </chartFormat>
    <chartFormat chart="1" format="5">
      <pivotArea type="data" outline="0" fieldPosition="0">
        <references count="2">
          <reference field="4294967294" count="1" selected="0">
            <x v="0"/>
          </reference>
          <reference field="0" count="1" selected="0">
            <x v="3"/>
          </reference>
        </references>
      </pivotArea>
    </chartFormat>
    <chartFormat chart="1" format="6">
      <pivotArea type="data" outline="0" fieldPosition="0">
        <references count="2">
          <reference field="4294967294" count="1" selected="0">
            <x v="0"/>
          </reference>
          <reference field="0" count="1" selected="0">
            <x v="4"/>
          </reference>
        </references>
      </pivotArea>
    </chartFormat>
    <chartFormat chart="1" format="7">
      <pivotArea type="data" outline="0" fieldPosition="0">
        <references count="2">
          <reference field="4294967294" count="1" selected="0">
            <x v="0"/>
          </reference>
          <reference field="0" count="1" selected="0">
            <x v="5"/>
          </reference>
        </references>
      </pivotArea>
    </chartFormat>
    <chartFormat chart="2" format="8" series="1">
      <pivotArea type="data" outline="0" fieldPosition="0">
        <references count="1">
          <reference field="4294967294" count="1" selected="0">
            <x v="0"/>
          </reference>
        </references>
      </pivotArea>
    </chartFormat>
    <chartFormat chart="2" format="9">
      <pivotArea type="data" outline="0" fieldPosition="0">
        <references count="2">
          <reference field="4294967294" count="1" selected="0">
            <x v="0"/>
          </reference>
          <reference field="0" count="1" selected="0">
            <x v="0"/>
          </reference>
        </references>
      </pivotArea>
    </chartFormat>
    <chartFormat chart="2" format="10">
      <pivotArea type="data" outline="0" fieldPosition="0">
        <references count="2">
          <reference field="4294967294" count="1" selected="0">
            <x v="0"/>
          </reference>
          <reference field="0" count="1" selected="0">
            <x v="1"/>
          </reference>
        </references>
      </pivotArea>
    </chartFormat>
    <chartFormat chart="2" format="11">
      <pivotArea type="data" outline="0" fieldPosition="0">
        <references count="2">
          <reference field="4294967294" count="1" selected="0">
            <x v="0"/>
          </reference>
          <reference field="0" count="1" selected="0">
            <x v="2"/>
          </reference>
        </references>
      </pivotArea>
    </chartFormat>
    <chartFormat chart="2" format="12">
      <pivotArea type="data" outline="0" fieldPosition="0">
        <references count="2">
          <reference field="4294967294" count="1" selected="0">
            <x v="0"/>
          </reference>
          <reference field="0" count="1" selected="0">
            <x v="3"/>
          </reference>
        </references>
      </pivotArea>
    </chartFormat>
    <chartFormat chart="2" format="13">
      <pivotArea type="data" outline="0" fieldPosition="0">
        <references count="2">
          <reference field="4294967294" count="1" selected="0">
            <x v="0"/>
          </reference>
          <reference field="0" count="1" selected="0">
            <x v="4"/>
          </reference>
        </references>
      </pivotArea>
    </chartFormat>
    <chartFormat chart="2" format="14">
      <pivotArea type="data" outline="0" fieldPosition="0">
        <references count="2">
          <reference field="4294967294" count="1" selected="0">
            <x v="0"/>
          </reference>
          <reference field="0" count="1" selected="0">
            <x v="5"/>
          </reference>
        </references>
      </pivotArea>
    </chartFormat>
  </chartFormats>
  <pivotHierarchies count="2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portClimbing]"/>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CE65474-018D-4775-87E4-05C66FFE9AF9}"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17:H32" firstHeaderRow="1" firstDataRow="1" firstDataCol="1"/>
  <pivotFields count="13">
    <pivotField showAll="0"/>
    <pivotField showAll="0"/>
    <pivotField axis="axisRow" showAll="0">
      <items count="15">
        <item x="0"/>
        <item x="1"/>
        <item x="2"/>
        <item x="3"/>
        <item x="4"/>
        <item x="5"/>
        <item x="6"/>
        <item x="7"/>
        <item x="8"/>
        <item x="9"/>
        <item x="10"/>
        <item x="11"/>
        <item x="12"/>
        <item x="13"/>
        <item t="default"/>
      </items>
    </pivotField>
    <pivotField showAll="0"/>
    <pivotField showAll="0"/>
    <pivotField dataField="1" showAll="0">
      <items count="7">
        <item x="0"/>
        <item x="1"/>
        <item x="2"/>
        <item x="3"/>
        <item x="4"/>
        <item x="5"/>
        <item t="default"/>
      </items>
    </pivotField>
    <pivotField showAll="0"/>
    <pivotField showAll="0"/>
    <pivotField showAll="0"/>
    <pivotField showAll="0"/>
    <pivotField showAll="0"/>
    <pivotField showAll="0"/>
    <pivotField showAll="0"/>
  </pivotFields>
  <rowFields count="1">
    <field x="2"/>
  </rowFields>
  <rowItems count="15">
    <i>
      <x/>
    </i>
    <i>
      <x v="1"/>
    </i>
    <i>
      <x v="2"/>
    </i>
    <i>
      <x v="3"/>
    </i>
    <i>
      <x v="4"/>
    </i>
    <i>
      <x v="5"/>
    </i>
    <i>
      <x v="6"/>
    </i>
    <i>
      <x v="7"/>
    </i>
    <i>
      <x v="8"/>
    </i>
    <i>
      <x v="9"/>
    </i>
    <i>
      <x v="10"/>
    </i>
    <i>
      <x v="11"/>
    </i>
    <i>
      <x v="12"/>
    </i>
    <i>
      <x v="13"/>
    </i>
    <i t="grand">
      <x/>
    </i>
  </rowItems>
  <colItems count="1">
    <i/>
  </colItems>
  <dataFields count="1">
    <dataField name="Sum of Score"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07F50DF-46A1-48BA-8A98-966A6EBFD095}" name="PivotTable19" cacheId="90" applyNumberFormats="0" applyBorderFormats="0" applyFontFormats="0" applyPatternFormats="0" applyAlignmentFormats="0" applyWidthHeightFormats="1" dataCaption="Values" missingCaption="0" tag="7dd5ddc3-df85-4b68-ac69-85847583c709" updatedVersion="8" minRefreshableVersion="3" useAutoFormatting="1" subtotalHiddenItems="1" itemPrintTitles="1" createdVersion="8" indent="0" outline="1" outlineData="1" multipleFieldFilters="0" chartFormat="4">
  <location ref="D24:E37" firstHeaderRow="1" firstDataRow="1" firstDataCol="1"/>
  <pivotFields count="4">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dataSourceSort="1" defaultSubtotal="0" defaultAttributeDrillState="1">
      <items count="12">
        <item x="0"/>
        <item x="1"/>
        <item x="2"/>
        <item x="3"/>
        <item x="4"/>
        <item x="5"/>
        <item x="6"/>
        <item x="7"/>
        <item x="8"/>
        <item x="9"/>
        <item x="10"/>
        <item x="11"/>
      </items>
    </pivotField>
    <pivotField allDrilled="1" subtotalTop="0" showAll="0" dataSourceSort="1" defaultSubtotal="0" defaultAttributeDrillState="1"/>
  </pivotFields>
  <rowFields count="1">
    <field x="2"/>
  </rowFields>
  <rowItems count="13">
    <i>
      <x/>
    </i>
    <i>
      <x v="1"/>
    </i>
    <i>
      <x v="2"/>
    </i>
    <i>
      <x v="3"/>
    </i>
    <i>
      <x v="4"/>
    </i>
    <i>
      <x v="5"/>
    </i>
    <i>
      <x v="6"/>
    </i>
    <i>
      <x v="7"/>
    </i>
    <i>
      <x v="8"/>
    </i>
    <i>
      <x v="9"/>
    </i>
    <i>
      <x v="10"/>
    </i>
    <i>
      <x v="11"/>
    </i>
    <i t="grand">
      <x/>
    </i>
  </rowItems>
  <colItems count="1">
    <i/>
  </colItems>
  <dataFields count="1">
    <dataField name="Sends per month" fld="0" subtotal="count" baseField="0" baseItem="0"/>
  </dataFields>
  <chartFormats count="1">
    <chartFormat chart="2" format="2" series="1">
      <pivotArea type="data" outline="0" fieldPosition="0">
        <references count="1">
          <reference field="4294967294" count="1" selected="0">
            <x v="0"/>
          </reference>
        </references>
      </pivotArea>
    </chartFormat>
  </chartFormats>
  <pivotHierarchies count="2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Sends per month"/>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portClimbing]"/>
        <x15:activeTabTopLevelEntity name="[MONTHS]"/>
        <x15:activeTabTopLevelEntity name="[Yea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0185487-D7BE-4B84-AFCC-7C3B48452CAC}" name="PivotTable18" cacheId="87" applyNumberFormats="0" applyBorderFormats="0" applyFontFormats="0" applyPatternFormats="0" applyAlignmentFormats="0" applyWidthHeightFormats="1" dataCaption="Values" missingCaption="0" tag="cb0df60a-b4f8-41ac-a10c-5197c46cb96e" updatedVersion="8" minRefreshableVersion="3" useAutoFormatting="1" subtotalHiddenItems="1" itemPrintTitles="1" createdVersion="8" indent="0" showEmptyRow="1" outline="1" outlineData="1" multipleFieldFilters="0" chartFormat="5">
  <location ref="D1:E20" firstHeaderRow="1" firstDataRow="1" firstDataCol="1"/>
  <pivotFields count="2">
    <pivotField dataField="1" subtotalTop="0" showAll="0" defaultSubtotal="0"/>
    <pivotField axis="axisRow" allDrilled="1" subtotalTop="0" showAll="0" dataSourceSort="1" defaultSubtotal="0" defaultAttributeDrillState="1">
      <items count="18">
        <item x="0"/>
        <item x="1"/>
        <item x="2"/>
        <item x="3"/>
        <item x="4"/>
        <item x="5"/>
        <item x="6"/>
        <item x="7"/>
        <item x="8"/>
        <item x="9"/>
        <item x="10"/>
        <item x="11"/>
        <item x="12"/>
        <item x="13"/>
        <item x="14"/>
        <item x="15"/>
        <item x="16"/>
        <item x="17"/>
      </items>
    </pivotField>
  </pivotFields>
  <rowFields count="1">
    <field x="1"/>
  </rowFields>
  <rowItems count="19">
    <i>
      <x/>
    </i>
    <i>
      <x v="1"/>
    </i>
    <i>
      <x v="2"/>
    </i>
    <i>
      <x v="3"/>
    </i>
    <i>
      <x v="4"/>
    </i>
    <i>
      <x v="5"/>
    </i>
    <i>
      <x v="6"/>
    </i>
    <i>
      <x v="7"/>
    </i>
    <i>
      <x v="8"/>
    </i>
    <i>
      <x v="9"/>
    </i>
    <i>
      <x v="10"/>
    </i>
    <i>
      <x v="11"/>
    </i>
    <i>
      <x v="12"/>
    </i>
    <i>
      <x v="13"/>
    </i>
    <i>
      <x v="14"/>
    </i>
    <i>
      <x v="15"/>
    </i>
    <i>
      <x v="16"/>
    </i>
    <i>
      <x v="17"/>
    </i>
    <i t="grand">
      <x/>
    </i>
  </rowItems>
  <colItems count="1">
    <i/>
  </colItems>
  <dataFields count="1">
    <dataField name="Sends per year" fld="0" subtotal="count" baseField="0" baseItem="0"/>
  </dataFields>
  <chartFormats count="1">
    <chartFormat chart="2" format="2" series="1">
      <pivotArea type="data" outline="0" fieldPosition="0">
        <references count="1">
          <reference field="4294967294" count="1" selected="0">
            <x v="0"/>
          </reference>
        </references>
      </pivotArea>
    </chartFormat>
  </chartFormats>
  <pivotHierarchies count="2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Sends per year"/>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portClimbing]"/>
        <x15:activeTabTopLevelEntity name="[Year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otal_number_of_tries" xr10:uid="{EE0836FE-5DCC-489C-A752-816322A94CE0}" sourceName="[SportClimbing].[Total number of tries]">
  <pivotTables>
    <pivotTable tabId="16" name="PivotTable17"/>
    <pivotTable tabId="16" name="PivotTable18"/>
    <pivotTable tabId="16" name="PivotTable19"/>
    <pivotTable tabId="16" name="PivotTable20"/>
    <pivotTable tabId="16" name="PivotTable21"/>
    <pivotTable tabId="16" name="PivotTable22"/>
    <pivotTable tabId="16" name="PivotTable4"/>
    <pivotTable tabId="16" name="PivotTable6"/>
  </pivotTables>
  <data>
    <olap pivotCacheId="1478781154">
      <levels count="2">
        <level uniqueName="[SportClimbing].[Total number of tries].[(All)]" sourceCaption="(All)" count="0"/>
        <level uniqueName="[SportClimbing].[Total number of tries].[Total number of tries]" sourceCaption="Total number of tries" count="13">
          <ranges>
            <range startItem="0">
              <i n="[SportClimbing].[Total number of tries].&amp;[10]" c="10"/>
              <i n="[SportClimbing].[Total number of tries].&amp;[12]" c="12"/>
              <i n="[SportClimbing].[Total number of tries].&amp;[14]" c="14"/>
              <i n="[SportClimbing].[Total number of tries].&amp;[2]" c="2"/>
              <i n="[SportClimbing].[Total number of tries].&amp;[3]" c="3"/>
              <i n="[SportClimbing].[Total number of tries].&amp;[4]" c="4"/>
              <i n="[SportClimbing].[Total number of tries].&amp;[5]" c="5"/>
              <i n="[SportClimbing].[Total number of tries].&amp;[50]" c="50"/>
              <i n="[SportClimbing].[Total number of tries].&amp;[6]" c="6"/>
              <i n="[SportClimbing].[Total number of tries].&amp;[7]" c="7"/>
              <i n="[SportClimbing].[Total number of tries].&amp;[8]" c="8"/>
              <i n="[SportClimbing].[Total number of tries].&amp;[flash]" c="flash"/>
              <i n="[SportClimbing].[Total number of tries].&amp;[onsight]" c="onsight"/>
            </range>
          </ranges>
        </level>
      </levels>
      <selections count="1">
        <selection n="[SportClimbing].[Total number of tries].[All]"/>
      </selections>
    </olap>
  </data>
  <extLst>
    <x:ext xmlns:x15="http://schemas.microsoft.com/office/spreadsheetml/2010/11/main" uri="{470722E0-AACD-4C17-9CDC-17EF765DBC7E}">
      <x15:slicerCacheHideItemsWithNoData count="1">
        <x15:slicerCacheOlapLevelName uniqueName="[SportClimbing].[Total number of tries].[Total number of tries]" count="0"/>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rade" xr10:uid="{3ADBF717-C83E-4FF2-9F57-A109611EAA67}" sourceName="[SportClimbing].[Grade]">
  <pivotTables>
    <pivotTable tabId="16" name="PivotTable17"/>
    <pivotTable tabId="16" name="PivotTable18"/>
    <pivotTable tabId="16" name="PivotTable19"/>
    <pivotTable tabId="16" name="PivotTable20"/>
    <pivotTable tabId="16" name="PivotTable21"/>
    <pivotTable tabId="16" name="PivotTable22"/>
    <pivotTable tabId="16" name="PivotTable4"/>
    <pivotTable tabId="16" name="PivotTable6"/>
  </pivotTables>
  <data>
    <olap pivotCacheId="1478781154">
      <levels count="2">
        <level uniqueName="[SportClimbing].[Grade].[(All)]" sourceCaption="(All)" count="0"/>
        <level uniqueName="[SportClimbing].[Grade].[Grade]" sourceCaption="Grade" count="6">
          <ranges>
            <range startItem="0">
              <i n="[SportClimbing].[Grade].&amp;[7a]" c="7a"/>
              <i n="[SportClimbing].[Grade].&amp;[7a+]" c="7a+"/>
              <i n="[SportClimbing].[Grade].&amp;[7b]" c="7b"/>
              <i n="[SportClimbing].[Grade].&amp;[7b+]" c="7b+"/>
              <i n="[SportClimbing].[Grade].&amp;[7c]" c="7c"/>
              <i n="[SportClimbing].[Grade].&amp;[7c+]" c="7c+"/>
            </range>
          </ranges>
        </level>
      </levels>
      <selections count="1">
        <selection n="[SportClimbing].[Grade].[All]"/>
      </selections>
    </olap>
  </data>
  <extLst>
    <x:ext xmlns:x15="http://schemas.microsoft.com/office/spreadsheetml/2010/11/main" uri="{470722E0-AACD-4C17-9CDC-17EF765DBC7E}">
      <x15:slicerCacheHideItemsWithNoData count="1">
        <x15:slicerCacheOlapLevelName uniqueName="[SportClimbing].[Grade].[Grade]" count="0"/>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rag" xr10:uid="{57957EA0-0BAF-4904-9BB8-E48552AC0E2E}" sourceName="[SportClimbing].[Crag]">
  <pivotTables>
    <pivotTable tabId="16" name="PivotTable17"/>
    <pivotTable tabId="16" name="PivotTable18"/>
    <pivotTable tabId="16" name="PivotTable19"/>
    <pivotTable tabId="16" name="PivotTable20"/>
    <pivotTable tabId="16" name="PivotTable21"/>
    <pivotTable tabId="16" name="PivotTable22"/>
    <pivotTable tabId="16" name="PivotTable4"/>
    <pivotTable tabId="16" name="PivotTable6"/>
  </pivotTables>
  <data>
    <olap pivotCacheId="1478781154">
      <levels count="2">
        <level uniqueName="[SportClimbing].[Crag].[(All)]" sourceCaption="(All)" count="0"/>
        <level uniqueName="[SportClimbing].[Crag].[Crag]" sourceCaption="Crag" count="34">
          <ranges>
            <range startItem="0">
              <i n="[SportClimbing].[Crag].&amp;[Arbolí]" c="Arbolí"/>
              <i n="[SportClimbing].[Crag].&amp;[Atlantida]" c="Atlantida"/>
              <i n="[SportClimbing].[Crag].&amp;[Berglsteinersee]" c="Berglsteinersee"/>
              <i n="[SportClimbing].[Crag].&amp;[Can Paulet]" c="Can Paulet"/>
              <i n="[SportClimbing].[Crag].&amp;[Carol]" c="Carol"/>
              <i n="[SportClimbing].[Crag].&amp;[Cavallers]" c="Cavallers"/>
              <i n="[SportClimbing].[Crag].&amp;[Chulilla]" c="Chulilla"/>
              <i n="[SportClimbing].[Crag].&amp;[Collegats]" c="Collegats"/>
              <i n="[SportClimbing].[Crag].&amp;[Fenda de Arrabida]" c="Fenda de Arrabida"/>
              <i n="[SportClimbing].[Crag].&amp;[Font Soleia]" c="Font Soleia"/>
              <i n="[SportClimbing].[Crag].&amp;[Garraf]" c="Garraf"/>
              <i n="[SportClimbing].[Crag].&amp;[Gelida]" c="Gelida"/>
              <i n="[SportClimbing].[Crag].&amp;[Gorges de la Cesse]" c="Gorges de la Cesse"/>
              <i n="[SportClimbing].[Crag].&amp;[Grau dels matxos]" c="Grau dels matxos"/>
              <i n="[SportClimbing].[Crag].&amp;[Hundepension]" c="Hundepension"/>
              <i n="[SportClimbing].[Crag].&amp;[Le Coupeau]" c="Le Coupeau"/>
              <i n="[SportClimbing].[Crag].&amp;[Le Fayet]" c="Le Fayet"/>
              <i n="[SportClimbing].[Crag].&amp;[Mallorca]" c="Mallorca"/>
              <i n="[SportClimbing].[Crag].&amp;[Margalef]" c="Margalef"/>
              <i n="[SportClimbing].[Crag].&amp;[Martinswand]" c="Martinswand"/>
              <i n="[SportClimbing].[Crag].&amp;[Marxuquera]" c="Marxuquera"/>
              <i n="[SportClimbing].[Crag].&amp;[Montserrat norte]" c="Montserrat norte"/>
              <i n="[SportClimbing].[Crag].&amp;[Montserrat sur]" c="Montserrat sur"/>
              <i n="[SportClimbing].[Crag].&amp;[Ötztal]" c="Ötztal"/>
              <i n="[SportClimbing].[Crag].&amp;[Penyes Aragonesas (Castellón)]" c="Penyes Aragonesas (Castellón)"/>
              <i n="[SportClimbing].[Crag].&amp;[Roc d'Anglars]" c="Roc d'Anglars"/>
              <i n="[SportClimbing].[Crag].&amp;[Roc de la Lluna]" c="Roc de la Lluna"/>
              <i n="[SportClimbing].[Crag].&amp;[Rodellar]" c="Rodellar"/>
              <i n="[SportClimbing].[Crag].&amp;[Sadernes]" c="Sadernes"/>
              <i n="[SportClimbing].[Crag].&amp;[Siurana]" c="Siurana"/>
              <i n="[SportClimbing].[Crag].&amp;[Starkenbach]" c="Starkenbach"/>
              <i n="[SportClimbing].[Crag].&amp;[Unterinn]" c="Unterinn"/>
              <i n="[SportClimbing].[Crag].&amp;[Zillertal - Astholz]" c="Zillertal - Astholz"/>
              <i n="[SportClimbing].[Crag].&amp;[Zillertal - Ewige Jagdgründe]" c="Zillertal - Ewige Jagdgründe"/>
            </range>
          </ranges>
        </level>
      </levels>
      <selections count="1">
        <selection n="[SportClimbing].[Crag].[All]"/>
      </selections>
    </olap>
  </data>
  <extLst>
    <x:ext xmlns:x15="http://schemas.microsoft.com/office/spreadsheetml/2010/11/main" uri="{470722E0-AACD-4C17-9CDC-17EF765DBC7E}">
      <x15:slicerCacheHideItemsWithNoData count="1">
        <x15:slicerCacheOlapLevelName uniqueName="[SportClimbing].[Crag].[Crag]" count="0"/>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 xr10:uid="{2C6E0E4A-8119-4FCD-81C7-2CEF328A1A3B}" sourceName="[Years].[YEARS]">
  <pivotTables>
    <pivotTable tabId="16" name="PivotTable17"/>
    <pivotTable tabId="16" name="PivotTable18"/>
    <pivotTable tabId="16" name="PivotTable19"/>
    <pivotTable tabId="16" name="PivotTable20"/>
    <pivotTable tabId="16" name="PivotTable21"/>
    <pivotTable tabId="16" name="PivotTable22"/>
    <pivotTable tabId="16" name="PivotTable4"/>
    <pivotTable tabId="16" name="PivotTable6"/>
  </pivotTables>
  <data>
    <olap pivotCacheId="1478781154">
      <levels count="2">
        <level uniqueName="[Years].[YEARS].[(All)]" sourceCaption="(All)" count="0"/>
        <level uniqueName="[Years].[YEARS].[YEARS]" sourceCaption="YEARS" count="18">
          <ranges>
            <range startItem="0">
              <i n="[Years].[YEARS].&amp;[2006]" c="2006"/>
              <i n="[Years].[YEARS].&amp;[2007]" c="2007"/>
              <i n="[Years].[YEARS].&amp;[2008]" c="2008"/>
              <i n="[Years].[YEARS].&amp;[2011]" c="2011"/>
              <i n="[Years].[YEARS].&amp;[2012]" c="2012"/>
              <i n="[Years].[YEARS].&amp;[2013]" c="2013"/>
              <i n="[Years].[YEARS].&amp;[2016]" c="2016"/>
              <i n="[Years].[YEARS].&amp;[2017]" c="2017"/>
              <i n="[Years].[YEARS].&amp;[2018]" c="2018"/>
              <i n="[Years].[YEARS].&amp;[2019]" c="2019"/>
              <i n="[Years].[YEARS].&amp;[2020]" c="2020"/>
              <i n="[Years].[YEARS].&amp;[2021]" c="2021"/>
              <i n="[Years].[YEARS].&amp;[2022]" c="2022"/>
              <i n="[Years].[YEARS].&amp;[2023]" c="2023"/>
              <i n="[Years].[YEARS].&amp;[2009]" c="2009" nd="1"/>
              <i n="[Years].[YEARS].&amp;[2010]" c="2010" nd="1"/>
              <i n="[Years].[YEARS].&amp;[2014]" c="2014" nd="1"/>
              <i n="[Years].[YEARS].&amp;[2015]" c="2015" nd="1"/>
            </range>
          </ranges>
        </level>
      </levels>
      <selections count="1">
        <selection n="[Years].[YEARS].[All]"/>
      </selections>
    </olap>
  </data>
  <extLst>
    <x:ext xmlns:x15="http://schemas.microsoft.com/office/spreadsheetml/2010/11/main" uri="{470722E0-AACD-4C17-9CDC-17EF765DBC7E}">
      <x15:slicerCacheHideItemsWithNoData count="1">
        <x15:slicerCacheOlapLevelName uniqueName="[Years].[YEARS].[YEARS]" count="4"/>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elayer1" xr10:uid="{CE44DC9C-25BA-4852-A339-E86B221485AA}" sourceName="[SportClimbing].[Belayer]">
  <pivotTables>
    <pivotTable tabId="16" name="PivotTable22"/>
    <pivotTable tabId="16" name="PivotTable21"/>
    <pivotTable tabId="16" name="PivotTable20"/>
    <pivotTable tabId="16" name="PivotTable19"/>
    <pivotTable tabId="16" name="PivotTable18"/>
    <pivotTable tabId="16" name="PivotTable17"/>
    <pivotTable tabId="16" name="PivotTable4"/>
    <pivotTable tabId="16" name="PivotTable6"/>
  </pivotTables>
  <data>
    <olap pivotCacheId="1478781154">
      <levels count="2">
        <level uniqueName="[SportClimbing].[Belayer].[(All)]" sourceCaption="(All)" count="0"/>
        <level uniqueName="[SportClimbing].[Belayer].[Belayer]" sourceCaption="Belayer" count="47">
          <ranges>
            <range startItem="0">
              <i n="[SportClimbing].[Belayer].&amp;[Alexandre Marques]" c="Alexandre Marques"/>
              <i n="[SportClimbing].[Belayer].&amp;[Andres Villarroel]" c="Andres Villarroel"/>
              <i n="[SportClimbing].[Belayer].&amp;[Angel]" c="Angel"/>
              <i n="[SportClimbing].[Belayer].&amp;[Antonin]" c="Antonin"/>
              <i n="[SportClimbing].[Belayer].&amp;[Asier]" c="Asier"/>
              <i n="[SportClimbing].[Belayer].&amp;[Bernardo]" c="Bernardo"/>
              <i n="[SportClimbing].[Belayer].&amp;[Betka]" c="Betka"/>
              <i n="[SportClimbing].[Belayer].&amp;[Byron]" c="Byron"/>
              <i n="[SportClimbing].[Belayer].&amp;[Chris Awe]" c="Chris Awe"/>
              <i n="[SportClimbing].[Belayer].&amp;[Chris Knight]" c="Chris Knight"/>
              <i n="[SportClimbing].[Belayer].&amp;[Daniel Perez]" c="Daniel Perez"/>
              <i n="[SportClimbing].[Belayer].&amp;[Dave]" c="Dave"/>
              <i n="[SportClimbing].[Belayer].&amp;[David Valls]" c="David Valls"/>
              <i n="[SportClimbing].[Belayer].&amp;[Donald]" c="Donald"/>
              <i n="[SportClimbing].[Belayer].&amp;[Gabo]" c="Gabo"/>
              <i n="[SportClimbing].[Belayer].&amp;[Guhlm]" c="Guhlm"/>
              <i n="[SportClimbing].[Belayer].&amp;[Gustavo]" c="Gustavo"/>
              <i n="[SportClimbing].[Belayer].&amp;[Guy]" c="Guy"/>
              <i n="[SportClimbing].[Belayer].&amp;[Henry]" c="Henry"/>
              <i n="[SportClimbing].[Belayer].&amp;[Hervé]" c="Hervé"/>
              <i n="[SportClimbing].[Belayer].&amp;[Inti]" c="Inti"/>
              <i n="[SportClimbing].[Belayer].&amp;[Juan]" c="Juan"/>
              <i n="[SportClimbing].[Belayer].&amp;[Juman]" c="Juman"/>
              <i n="[SportClimbing].[Belayer].&amp;[Karla Mexicana]" c="Karla Mexicana"/>
              <i n="[SportClimbing].[Belayer].&amp;[Kat]" c="Kat"/>
              <i n="[SportClimbing].[Belayer].&amp;[Kathy]" c="Kathy"/>
              <i n="[SportClimbing].[Belayer].&amp;[Kati Golovina]" c="Kati Golovina"/>
              <i n="[SportClimbing].[Belayer].&amp;[Klaus Charfreitag]" c="Klaus Charfreitag"/>
              <i n="[SportClimbing].[Belayer].&amp;[Laila]" c="Laila"/>
              <i n="[SportClimbing].[Belayer].&amp;[Lena]" c="Lena"/>
              <i n="[SportClimbing].[Belayer].&amp;[Lydia]" c="Lydia"/>
              <i n="[SportClimbing].[Belayer].&amp;[Marc Ros]" c="Marc Ros"/>
              <i n="[SportClimbing].[Belayer].&amp;[Martyn]" c="Martyn"/>
              <i n="[SportClimbing].[Belayer].&amp;[Natasha]" c="Natasha"/>
              <i n="[SportClimbing].[Belayer].&amp;[Patrick]" c="Patrick"/>
              <i n="[SportClimbing].[Belayer].&amp;[Pelu]" c="Pelu"/>
              <i n="[SportClimbing].[Belayer].&amp;[Sean]" c="Sean"/>
              <i n="[SportClimbing].[Belayer].&amp;[Shyamal]" c="Shyamal"/>
              <i n="[SportClimbing].[Belayer].&amp;[Teddy]" c="Teddy"/>
              <i n="[SportClimbing].[Belayer].&amp;[Thomas Bur]" c="Thomas Bur"/>
              <i n="[SportClimbing].[Belayer].&amp;[Tibor]" c="Tibor"/>
              <i n="[SportClimbing].[Belayer].&amp;[Tieme]" c="Tieme"/>
              <i n="[SportClimbing].[Belayer].&amp;[Ulises]" c="Ulises"/>
              <i n="[SportClimbing].[Belayer].&amp;[Vittorio]" c="Vittorio"/>
              <i n="[SportClimbing].[Belayer].&amp;[water solo]" c="water solo"/>
              <i n="[SportClimbing].[Belayer].&amp;[Will]" c="Will"/>
              <i n="[SportClimbing].[Belayer].&amp;[Yoel]" c="Yoel"/>
            </range>
          </ranges>
        </level>
      </levels>
      <selections count="1">
        <selection n="[SportClimbing].[Belayer].[All]"/>
      </selections>
    </olap>
  </data>
  <extLst>
    <x:ext xmlns:x15="http://schemas.microsoft.com/office/spreadsheetml/2010/11/main" uri="{470722E0-AACD-4C17-9CDC-17EF765DBC7E}">
      <x15:slicerCacheHideItemsWithNoData count="1">
        <x15:slicerCacheOlapLevelName uniqueName="[SportClimbing].[Belayer].[Belayer]" count="0"/>
      </x15:slicerCacheHideItemsWithNoData>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__m" xr10:uid="{D38D332B-CCF9-44BD-A0E1-616CF09F8F19}" sourceName="[SportClimbing].[Height (m)]">
  <pivotTables>
    <pivotTable tabId="16" name="PivotTable17"/>
    <pivotTable tabId="16" name="PivotTable18"/>
    <pivotTable tabId="16" name="PivotTable19"/>
    <pivotTable tabId="16" name="PivotTable20"/>
    <pivotTable tabId="16" name="PivotTable21"/>
    <pivotTable tabId="16" name="PivotTable22"/>
    <pivotTable tabId="16" name="PivotTable4"/>
    <pivotTable tabId="16" name="PivotTable6"/>
  </pivotTables>
  <data>
    <olap pivotCacheId="1478781154">
      <levels count="2">
        <level uniqueName="[SportClimbing].[Height (m)].[(All)]" sourceCaption="(All)" count="0"/>
        <level uniqueName="[SportClimbing].[Height (m)].[Height (m)]" sourceCaption="Height (m)" count="17">
          <ranges>
            <range startItem="0">
              <i n="[SportClimbing].[Height (m)].&amp;[10]" c="10"/>
              <i n="[SportClimbing].[Height (m)].&amp;[12]" c="12"/>
              <i n="[SportClimbing].[Height (m)].&amp;[13]" c="13"/>
              <i n="[SportClimbing].[Height (m)].&amp;[15]" c="15"/>
              <i n="[SportClimbing].[Height (m)].&amp;[16]" c="16"/>
              <i n="[SportClimbing].[Height (m)].&amp;[18]" c="18"/>
              <i n="[SportClimbing].[Height (m)].&amp;[20]" c="20"/>
              <i n="[SportClimbing].[Height (m)].&amp;[22]" c="22"/>
              <i n="[SportClimbing].[Height (m)].&amp;[23]" c="23"/>
              <i n="[SportClimbing].[Height (m)].&amp;[25]" c="25"/>
              <i n="[SportClimbing].[Height (m)].&amp;[27]" c="27"/>
              <i n="[SportClimbing].[Height (m)].&amp;[28]" c="28"/>
              <i n="[SportClimbing].[Height (m)].&amp;[30]" c="30"/>
              <i n="[SportClimbing].[Height (m)].&amp;[32]" c="32"/>
              <i n="[SportClimbing].[Height (m)].&amp;[35]" c="35"/>
              <i n="[SportClimbing].[Height (m)].&amp;[38]" c="38"/>
              <i n="[SportClimbing].[Height (m)].&amp;[40]" c="40"/>
            </range>
          </ranges>
        </level>
      </levels>
      <selections count="1">
        <selection n="[SportClimbing].[Height (m)].[All]"/>
      </selections>
    </olap>
  </data>
  <extLst>
    <x:ext xmlns:x15="http://schemas.microsoft.com/office/spreadsheetml/2010/11/main" uri="{470722E0-AACD-4C17-9CDC-17EF765DBC7E}">
      <x15:slicerCacheHideItemsWithNoData count="1">
        <x15:slicerCacheOlapLevelName uniqueName="[SportClimbing].[Height (m)].[Height (m)]" count="0"/>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otal number of tries" xr10:uid="{DC031239-5696-4400-94A8-168247819DF2}" cache="Slicer_Total_number_of_tries" caption="Total number of tries" columnCount="3" level="1" style="SlicerStyleDark4" rowHeight="225425"/>
  <slicer name="Grade" xr10:uid="{C9D86EF3-DA22-4E79-9417-61ECB4BE31B2}" cache="Slicer_Grade" caption="Grade" columnCount="3" level="1" style="SlicerStyleDark1" rowHeight="225425"/>
  <slicer name="Crag" xr10:uid="{57EE081A-5355-4C6F-AF2A-30C624F4D53F}" cache="Slicer_Crag" caption="Crag" columnCount="5" level="1" style="SlicerStyleDark2 2" rowHeight="225425"/>
  <slicer name="YEARS" xr10:uid="{9C5CB6E8-0DB1-4CE8-B125-C3696FFEC8D3}" cache="Slicer_YEARS" caption="YEARS" columnCount="4" level="1" style="SlicerStyleDark6" rowHeight="225425"/>
  <slicer name="Belayer" xr10:uid="{6A73B54E-930C-4E8F-9CD2-F22A2152753F}" cache="Slicer_Belayer1" caption="Belayer" columnCount="4" level="1" style="Belayer" rowHeight="225425"/>
  <slicer name="Height (m)" xr10:uid="{1C541FAA-BC74-4DDB-A62D-1E2A3A72EDEC}" cache="Slicer_Height__m" caption="Height (m)" columnCount="4" level="1" style="SlicerStyleDark5" rowHeight="22542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0000000}" name="SportClimbing" displayName="SportClimbing" ref="A1:L158" totalsRowShown="0">
  <autoFilter ref="A1:L158" xr:uid="{00000000-0009-0000-0100-00000B000000}"/>
  <tableColumns count="12">
    <tableColumn id="1" xr3:uid="{00000000-0010-0000-0000-000001000000}" name="Day"/>
    <tableColumn id="2" xr3:uid="{00000000-0010-0000-0000-000002000000}" name="Month"/>
    <tableColumn id="3" xr3:uid="{00000000-0010-0000-0000-000003000000}" name="Year"/>
    <tableColumn id="4" xr3:uid="{00000000-0010-0000-0000-000004000000}" name="Route name"/>
    <tableColumn id="5" xr3:uid="{00000000-0010-0000-0000-000005000000}" name="Grade"/>
    <tableColumn id="11" xr3:uid="{BFFEE807-DBDA-4F0E-AB51-6D193DCB058B}" name="Country"/>
    <tableColumn id="6" xr3:uid="{00000000-0010-0000-0000-000006000000}" name="Crag"/>
    <tableColumn id="7" xr3:uid="{00000000-0010-0000-0000-000007000000}" name="Sector"/>
    <tableColumn id="8" xr3:uid="{00000000-0010-0000-0000-000008000000}" name="Height (m)"/>
    <tableColumn id="12" xr3:uid="{81841973-0EB5-42FD-BFDD-2B7B229B7F5E}" name="Height range (m)" dataDxfId="0">
      <calculatedColumnFormula>IF(SportClimbing[[#This Row],[Height (m)]]&lt;15, "10-14", IF(SportClimbing[[#This Row],[Height (m)]]&lt;20, "15-19", IF(SportClimbing[[#This Row],[Height (m)]]&lt;25, "20-24", IF(SportClimbing[[#This Row],[Height (m)]]&lt;30, "25-29", IF(SportClimbing[[#This Row],[Height (m)]]&lt;35, "30-34", "35+")))))</calculatedColumnFormula>
    </tableColumn>
    <tableColumn id="9" xr3:uid="{00000000-0010-0000-0000-000009000000}" name="Belayer"/>
    <tableColumn id="10" xr3:uid="{00000000-0010-0000-0000-00000A000000}" name="Total number of tri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DBDA1C8-67BC-46A4-B59F-88BB6F02F3A5}" name="Years" displayName="Years" ref="A1:A19" totalsRowShown="0">
  <autoFilter ref="A1:A19" xr:uid="{5DBDA1C8-67BC-46A4-B59F-88BB6F02F3A5}"/>
  <tableColumns count="1">
    <tableColumn id="1" xr3:uid="{94E9D351-C9E9-4065-813F-F63DB1439259}" name="YEAR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65CDF67-69C6-4F8E-8866-17A2301F4074}" name="MONTHS" displayName="MONTHS" ref="D1:F13" totalsRowShown="0">
  <autoFilter ref="D1:F13" xr:uid="{F65CDF67-69C6-4F8E-8866-17A2301F4074}"/>
  <tableColumns count="3">
    <tableColumn id="1" xr3:uid="{077EAEE1-3C25-4029-8A12-05952909279A}" name="MONTHS 1"/>
    <tableColumn id="2" xr3:uid="{48F14ADA-60D5-42F2-B026-D004D0FF61D3}" name="MONTHS 2"/>
    <tableColumn id="3" xr3:uid="{6220A5CE-1022-4C93-A397-A38BF650EDBE}" name="MONTHS 3"/>
  </tableColumns>
  <tableStyleInfo name="TableStyleMedium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58"/>
  <sheetViews>
    <sheetView showGridLines="0" zoomScaleNormal="100" workbookViewId="0">
      <pane ySplit="1" topLeftCell="A2" activePane="bottomLeft" state="frozen"/>
      <selection pane="bottomLeft" activeCell="M9" sqref="M9"/>
    </sheetView>
  </sheetViews>
  <sheetFormatPr defaultColWidth="11.5703125" defaultRowHeight="12.75" x14ac:dyDescent="0.2"/>
  <cols>
    <col min="1" max="1" width="9.85546875" bestFit="1" customWidth="1"/>
    <col min="2" max="2" width="8.85546875" bestFit="1" customWidth="1"/>
    <col min="3" max="3" width="7.140625" bestFit="1" customWidth="1"/>
    <col min="4" max="4" width="34.5703125" bestFit="1" customWidth="1"/>
    <col min="5" max="5" width="8.5703125" bestFit="1" customWidth="1"/>
    <col min="6" max="6" width="10.7109375" bestFit="1" customWidth="1"/>
    <col min="7" max="7" width="27.7109375" bestFit="1" customWidth="1"/>
    <col min="8" max="8" width="29.28515625" bestFit="1" customWidth="1"/>
    <col min="9" max="9" width="12.28515625" bestFit="1" customWidth="1"/>
    <col min="10" max="10" width="18" bestFit="1" customWidth="1"/>
    <col min="11" max="11" width="17.42578125" bestFit="1" customWidth="1"/>
    <col min="12" max="12" width="21.7109375" bestFit="1" customWidth="1"/>
  </cols>
  <sheetData>
    <row r="1" spans="1:12" x14ac:dyDescent="0.2">
      <c r="A1" t="s">
        <v>136</v>
      </c>
      <c r="B1" t="s">
        <v>137</v>
      </c>
      <c r="C1" t="s">
        <v>138</v>
      </c>
      <c r="D1" t="s">
        <v>139</v>
      </c>
      <c r="E1" t="s">
        <v>140</v>
      </c>
      <c r="F1" t="s">
        <v>261</v>
      </c>
      <c r="G1" t="s">
        <v>141</v>
      </c>
      <c r="H1" t="s">
        <v>142</v>
      </c>
      <c r="I1" t="s">
        <v>143</v>
      </c>
      <c r="J1" t="s">
        <v>388</v>
      </c>
      <c r="K1" t="s">
        <v>144</v>
      </c>
      <c r="L1" t="s">
        <v>145</v>
      </c>
    </row>
    <row r="2" spans="1:12" x14ac:dyDescent="0.2">
      <c r="A2" s="3"/>
      <c r="B2" s="3" t="s">
        <v>374</v>
      </c>
      <c r="C2" s="3">
        <v>2006</v>
      </c>
      <c r="D2" s="3" t="s">
        <v>2</v>
      </c>
      <c r="E2" s="3" t="s">
        <v>3</v>
      </c>
      <c r="F2" s="3" t="s">
        <v>262</v>
      </c>
      <c r="G2" s="3" t="s">
        <v>1</v>
      </c>
      <c r="H2" s="3" t="s">
        <v>4</v>
      </c>
      <c r="I2" s="3">
        <v>15</v>
      </c>
      <c r="J2" s="3" t="str">
        <f>IF(SportClimbing[[#This Row],[Height (m)]]&lt;15, "10-14", IF(SportClimbing[[#This Row],[Height (m)]]&lt;20, "15-19", IF(SportClimbing[[#This Row],[Height (m)]]&lt;25, "20-24", IF(SportClimbing[[#This Row],[Height (m)]]&lt;30, "25-29", IF(SportClimbing[[#This Row],[Height (m)]]&lt;35, "30-34", "35+")))))</f>
        <v>15-19</v>
      </c>
      <c r="K2" s="3" t="s">
        <v>10</v>
      </c>
      <c r="L2" s="3">
        <v>7</v>
      </c>
    </row>
    <row r="3" spans="1:12" x14ac:dyDescent="0.2">
      <c r="B3" t="s">
        <v>374</v>
      </c>
      <c r="C3">
        <v>2007</v>
      </c>
      <c r="D3" t="s">
        <v>5</v>
      </c>
      <c r="E3" t="s">
        <v>3</v>
      </c>
      <c r="F3" t="s">
        <v>262</v>
      </c>
      <c r="G3" t="s">
        <v>1</v>
      </c>
      <c r="H3" t="s">
        <v>4</v>
      </c>
      <c r="I3">
        <v>25</v>
      </c>
      <c r="J3" t="str">
        <f>IF(SportClimbing[[#This Row],[Height (m)]]&lt;15, "10-14", IF(SportClimbing[[#This Row],[Height (m)]]&lt;20, "15-19", IF(SportClimbing[[#This Row],[Height (m)]]&lt;25, "20-24", IF(SportClimbing[[#This Row],[Height (m)]]&lt;30, "25-29", IF(SportClimbing[[#This Row],[Height (m)]]&lt;35, "30-34", "35+")))))</f>
        <v>25-29</v>
      </c>
      <c r="K3" t="s">
        <v>6</v>
      </c>
      <c r="L3">
        <v>4</v>
      </c>
    </row>
    <row r="4" spans="1:12" x14ac:dyDescent="0.2">
      <c r="B4" t="s">
        <v>377</v>
      </c>
      <c r="C4">
        <v>2008</v>
      </c>
      <c r="D4" t="s">
        <v>7</v>
      </c>
      <c r="E4" t="s">
        <v>3</v>
      </c>
      <c r="F4" t="s">
        <v>262</v>
      </c>
      <c r="G4" t="s">
        <v>8</v>
      </c>
      <c r="H4" t="s">
        <v>9</v>
      </c>
      <c r="I4">
        <v>25</v>
      </c>
      <c r="J4" t="str">
        <f>IF(SportClimbing[[#This Row],[Height (m)]]&lt;15, "10-14", IF(SportClimbing[[#This Row],[Height (m)]]&lt;20, "15-19", IF(SportClimbing[[#This Row],[Height (m)]]&lt;25, "20-24", IF(SportClimbing[[#This Row],[Height (m)]]&lt;30, "25-29", IF(SportClimbing[[#This Row],[Height (m)]]&lt;35, "30-34", "35+")))))</f>
        <v>25-29</v>
      </c>
      <c r="K4" t="s">
        <v>10</v>
      </c>
      <c r="L4" t="s">
        <v>11</v>
      </c>
    </row>
    <row r="5" spans="1:12" x14ac:dyDescent="0.2">
      <c r="B5" t="s">
        <v>155</v>
      </c>
      <c r="C5">
        <v>2008</v>
      </c>
      <c r="D5" t="s">
        <v>226</v>
      </c>
      <c r="E5" t="s">
        <v>3</v>
      </c>
      <c r="F5" t="s">
        <v>262</v>
      </c>
      <c r="G5" t="s">
        <v>12</v>
      </c>
      <c r="H5" t="s">
        <v>0</v>
      </c>
      <c r="I5">
        <v>18</v>
      </c>
      <c r="J5" t="str">
        <f>IF(SportClimbing[[#This Row],[Height (m)]]&lt;15, "10-14", IF(SportClimbing[[#This Row],[Height (m)]]&lt;20, "15-19", IF(SportClimbing[[#This Row],[Height (m)]]&lt;25, "20-24", IF(SportClimbing[[#This Row],[Height (m)]]&lt;30, "25-29", IF(SportClimbing[[#This Row],[Height (m)]]&lt;35, "30-34", "35+")))))</f>
        <v>15-19</v>
      </c>
      <c r="K5" t="s">
        <v>13</v>
      </c>
      <c r="L5">
        <v>2</v>
      </c>
    </row>
    <row r="6" spans="1:12" x14ac:dyDescent="0.2">
      <c r="A6">
        <v>6</v>
      </c>
      <c r="B6" t="s">
        <v>158</v>
      </c>
      <c r="C6">
        <v>2011</v>
      </c>
      <c r="D6" t="s">
        <v>14</v>
      </c>
      <c r="E6" t="s">
        <v>3</v>
      </c>
      <c r="F6" t="s">
        <v>263</v>
      </c>
      <c r="G6" t="s">
        <v>15</v>
      </c>
      <c r="H6" t="s">
        <v>16</v>
      </c>
      <c r="I6">
        <v>20</v>
      </c>
      <c r="J6" t="str">
        <f>IF(SportClimbing[[#This Row],[Height (m)]]&lt;15, "10-14", IF(SportClimbing[[#This Row],[Height (m)]]&lt;20, "15-19", IF(SportClimbing[[#This Row],[Height (m)]]&lt;25, "20-24", IF(SportClimbing[[#This Row],[Height (m)]]&lt;30, "25-29", IF(SportClimbing[[#This Row],[Height (m)]]&lt;35, "30-34", "35+")))))</f>
        <v>20-24</v>
      </c>
      <c r="K6" t="s">
        <v>17</v>
      </c>
      <c r="L6">
        <v>2</v>
      </c>
    </row>
    <row r="7" spans="1:12" x14ac:dyDescent="0.2">
      <c r="A7">
        <v>8</v>
      </c>
      <c r="B7" t="s">
        <v>377</v>
      </c>
      <c r="C7">
        <v>2012</v>
      </c>
      <c r="D7" t="s">
        <v>118</v>
      </c>
      <c r="E7" t="s">
        <v>3</v>
      </c>
      <c r="F7" t="s">
        <v>263</v>
      </c>
      <c r="G7" t="s">
        <v>18</v>
      </c>
      <c r="H7" t="s">
        <v>19</v>
      </c>
      <c r="I7">
        <v>20</v>
      </c>
      <c r="J7" t="str">
        <f>IF(SportClimbing[[#This Row],[Height (m)]]&lt;15, "10-14", IF(SportClimbing[[#This Row],[Height (m)]]&lt;20, "15-19", IF(SportClimbing[[#This Row],[Height (m)]]&lt;25, "20-24", IF(SportClimbing[[#This Row],[Height (m)]]&lt;30, "25-29", IF(SportClimbing[[#This Row],[Height (m)]]&lt;35, "30-34", "35+")))))</f>
        <v>20-24</v>
      </c>
      <c r="K7" t="s">
        <v>146</v>
      </c>
      <c r="L7">
        <v>2</v>
      </c>
    </row>
    <row r="8" spans="1:12" x14ac:dyDescent="0.2">
      <c r="A8" s="3">
        <v>21</v>
      </c>
      <c r="B8" s="3" t="s">
        <v>160</v>
      </c>
      <c r="C8" s="3">
        <v>2012</v>
      </c>
      <c r="D8" s="3" t="s">
        <v>20</v>
      </c>
      <c r="E8" s="3" t="s">
        <v>21</v>
      </c>
      <c r="F8" s="3" t="s">
        <v>263</v>
      </c>
      <c r="G8" s="3" t="s">
        <v>22</v>
      </c>
      <c r="H8" s="3" t="s">
        <v>23</v>
      </c>
      <c r="I8" s="3">
        <v>25</v>
      </c>
      <c r="J8" s="3" t="str">
        <f>IF(SportClimbing[[#This Row],[Height (m)]]&lt;15, "10-14", IF(SportClimbing[[#This Row],[Height (m)]]&lt;20, "15-19", IF(SportClimbing[[#This Row],[Height (m)]]&lt;25, "20-24", IF(SportClimbing[[#This Row],[Height (m)]]&lt;30, "25-29", IF(SportClimbing[[#This Row],[Height (m)]]&lt;35, "30-34", "35+")))))</f>
        <v>25-29</v>
      </c>
      <c r="K8" s="3" t="s">
        <v>24</v>
      </c>
      <c r="L8" s="3">
        <v>4</v>
      </c>
    </row>
    <row r="9" spans="1:12" x14ac:dyDescent="0.2">
      <c r="A9">
        <v>21</v>
      </c>
      <c r="B9" t="s">
        <v>161</v>
      </c>
      <c r="C9">
        <v>2012</v>
      </c>
      <c r="D9" t="s">
        <v>28</v>
      </c>
      <c r="E9" t="s">
        <v>21</v>
      </c>
      <c r="F9" t="s">
        <v>263</v>
      </c>
      <c r="G9" t="s">
        <v>22</v>
      </c>
      <c r="H9" t="s">
        <v>23</v>
      </c>
      <c r="I9">
        <v>25</v>
      </c>
      <c r="J9" t="str">
        <f>IF(SportClimbing[[#This Row],[Height (m)]]&lt;15, "10-14", IF(SportClimbing[[#This Row],[Height (m)]]&lt;20, "15-19", IF(SportClimbing[[#This Row],[Height (m)]]&lt;25, "20-24", IF(SportClimbing[[#This Row],[Height (m)]]&lt;30, "25-29", IF(SportClimbing[[#This Row],[Height (m)]]&lt;35, "30-34", "35+")))))</f>
        <v>25-29</v>
      </c>
      <c r="K9" t="s">
        <v>146</v>
      </c>
      <c r="L9" t="s">
        <v>11</v>
      </c>
    </row>
    <row r="10" spans="1:12" x14ac:dyDescent="0.2">
      <c r="A10" s="3">
        <v>21</v>
      </c>
      <c r="B10" s="3" t="s">
        <v>151</v>
      </c>
      <c r="C10" s="3">
        <v>2013</v>
      </c>
      <c r="D10" s="3" t="s">
        <v>30</v>
      </c>
      <c r="E10" s="3" t="s">
        <v>29</v>
      </c>
      <c r="F10" s="3" t="s">
        <v>263</v>
      </c>
      <c r="G10" s="3" t="s">
        <v>22</v>
      </c>
      <c r="H10" s="3" t="s">
        <v>23</v>
      </c>
      <c r="I10" s="3">
        <v>25</v>
      </c>
      <c r="J10" s="3" t="str">
        <f>IF(SportClimbing[[#This Row],[Height (m)]]&lt;15, "10-14", IF(SportClimbing[[#This Row],[Height (m)]]&lt;20, "15-19", IF(SportClimbing[[#This Row],[Height (m)]]&lt;25, "20-24", IF(SportClimbing[[#This Row],[Height (m)]]&lt;30, "25-29", IF(SportClimbing[[#This Row],[Height (m)]]&lt;35, "30-34", "35+")))))</f>
        <v>25-29</v>
      </c>
      <c r="K10" s="3" t="s">
        <v>146</v>
      </c>
      <c r="L10" s="3">
        <v>7</v>
      </c>
    </row>
    <row r="11" spans="1:12" x14ac:dyDescent="0.2">
      <c r="A11">
        <v>1</v>
      </c>
      <c r="B11" t="s">
        <v>152</v>
      </c>
      <c r="C11">
        <v>2013</v>
      </c>
      <c r="D11" t="s">
        <v>33</v>
      </c>
      <c r="E11" t="s">
        <v>3</v>
      </c>
      <c r="F11" t="s">
        <v>263</v>
      </c>
      <c r="G11" t="s">
        <v>22</v>
      </c>
      <c r="H11" t="s">
        <v>23</v>
      </c>
      <c r="I11">
        <v>18</v>
      </c>
      <c r="J11" t="str">
        <f>IF(SportClimbing[[#This Row],[Height (m)]]&lt;15, "10-14", IF(SportClimbing[[#This Row],[Height (m)]]&lt;20, "15-19", IF(SportClimbing[[#This Row],[Height (m)]]&lt;25, "20-24", IF(SportClimbing[[#This Row],[Height (m)]]&lt;30, "25-29", IF(SportClimbing[[#This Row],[Height (m)]]&lt;35, "30-34", "35+")))))</f>
        <v>15-19</v>
      </c>
      <c r="K11" t="s">
        <v>34</v>
      </c>
      <c r="L11" t="s">
        <v>130</v>
      </c>
    </row>
    <row r="12" spans="1:12" x14ac:dyDescent="0.2">
      <c r="A12">
        <v>5</v>
      </c>
      <c r="B12" t="s">
        <v>152</v>
      </c>
      <c r="C12">
        <v>2013</v>
      </c>
      <c r="D12" t="s">
        <v>31</v>
      </c>
      <c r="E12" t="s">
        <v>3</v>
      </c>
      <c r="F12" t="s">
        <v>263</v>
      </c>
      <c r="G12" t="s">
        <v>25</v>
      </c>
      <c r="H12" t="s">
        <v>26</v>
      </c>
      <c r="I12">
        <v>12</v>
      </c>
      <c r="J12" t="str">
        <f>IF(SportClimbing[[#This Row],[Height (m)]]&lt;15, "10-14", IF(SportClimbing[[#This Row],[Height (m)]]&lt;20, "15-19", IF(SportClimbing[[#This Row],[Height (m)]]&lt;25, "20-24", IF(SportClimbing[[#This Row],[Height (m)]]&lt;30, "25-29", IF(SportClimbing[[#This Row],[Height (m)]]&lt;35, "30-34", "35+")))))</f>
        <v>10-14</v>
      </c>
      <c r="K12" t="s">
        <v>147</v>
      </c>
      <c r="L12">
        <v>12</v>
      </c>
    </row>
    <row r="13" spans="1:12" x14ac:dyDescent="0.2">
      <c r="A13" s="3">
        <v>9</v>
      </c>
      <c r="B13" s="3" t="s">
        <v>152</v>
      </c>
      <c r="C13" s="3">
        <v>2013</v>
      </c>
      <c r="D13" s="3" t="s">
        <v>42</v>
      </c>
      <c r="E13" s="3" t="s">
        <v>32</v>
      </c>
      <c r="F13" s="3" t="s">
        <v>263</v>
      </c>
      <c r="G13" s="3" t="s">
        <v>25</v>
      </c>
      <c r="H13" s="3" t="s">
        <v>26</v>
      </c>
      <c r="I13" s="3">
        <v>25</v>
      </c>
      <c r="J13" s="3" t="str">
        <f>IF(SportClimbing[[#This Row],[Height (m)]]&lt;15, "10-14", IF(SportClimbing[[#This Row],[Height (m)]]&lt;20, "15-19", IF(SportClimbing[[#This Row],[Height (m)]]&lt;25, "20-24", IF(SportClimbing[[#This Row],[Height (m)]]&lt;30, "25-29", IF(SportClimbing[[#This Row],[Height (m)]]&lt;35, "30-34", "35+")))))</f>
        <v>25-29</v>
      </c>
      <c r="K13" s="3" t="s">
        <v>147</v>
      </c>
      <c r="L13" s="3">
        <v>2</v>
      </c>
    </row>
    <row r="14" spans="1:12" x14ac:dyDescent="0.2">
      <c r="A14">
        <v>26</v>
      </c>
      <c r="B14" t="s">
        <v>152</v>
      </c>
      <c r="C14">
        <v>2013</v>
      </c>
      <c r="D14" t="s">
        <v>36</v>
      </c>
      <c r="E14" t="s">
        <v>21</v>
      </c>
      <c r="F14" t="s">
        <v>263</v>
      </c>
      <c r="G14" t="s">
        <v>22</v>
      </c>
      <c r="H14" t="s">
        <v>23</v>
      </c>
      <c r="I14">
        <v>20</v>
      </c>
      <c r="J14" t="str">
        <f>IF(SportClimbing[[#This Row],[Height (m)]]&lt;15, "10-14", IF(SportClimbing[[#This Row],[Height (m)]]&lt;20, "15-19", IF(SportClimbing[[#This Row],[Height (m)]]&lt;25, "20-24", IF(SportClimbing[[#This Row],[Height (m)]]&lt;30, "25-29", IF(SportClimbing[[#This Row],[Height (m)]]&lt;35, "30-34", "35+")))))</f>
        <v>20-24</v>
      </c>
      <c r="K14" t="s">
        <v>37</v>
      </c>
      <c r="L14" t="s">
        <v>11</v>
      </c>
    </row>
    <row r="15" spans="1:12" x14ac:dyDescent="0.2">
      <c r="A15">
        <v>26</v>
      </c>
      <c r="B15" t="s">
        <v>152</v>
      </c>
      <c r="C15">
        <v>2013</v>
      </c>
      <c r="D15" t="s">
        <v>35</v>
      </c>
      <c r="E15" t="s">
        <v>3</v>
      </c>
      <c r="F15" t="s">
        <v>263</v>
      </c>
      <c r="G15" t="s">
        <v>22</v>
      </c>
      <c r="H15" t="s">
        <v>23</v>
      </c>
      <c r="I15">
        <v>20</v>
      </c>
      <c r="J15" t="str">
        <f>IF(SportClimbing[[#This Row],[Height (m)]]&lt;15, "10-14", IF(SportClimbing[[#This Row],[Height (m)]]&lt;20, "15-19", IF(SportClimbing[[#This Row],[Height (m)]]&lt;25, "20-24", IF(SportClimbing[[#This Row],[Height (m)]]&lt;30, "25-29", IF(SportClimbing[[#This Row],[Height (m)]]&lt;35, "30-34", "35+")))))</f>
        <v>20-24</v>
      </c>
      <c r="K15" t="s">
        <v>24</v>
      </c>
      <c r="L15" t="s">
        <v>130</v>
      </c>
    </row>
    <row r="16" spans="1:12" x14ac:dyDescent="0.2">
      <c r="A16">
        <v>9</v>
      </c>
      <c r="B16" t="s">
        <v>376</v>
      </c>
      <c r="C16">
        <v>2013</v>
      </c>
      <c r="D16" t="s">
        <v>40</v>
      </c>
      <c r="E16" t="s">
        <v>21</v>
      </c>
      <c r="F16" t="s">
        <v>263</v>
      </c>
      <c r="G16" t="s">
        <v>22</v>
      </c>
      <c r="H16" t="s">
        <v>23</v>
      </c>
      <c r="I16">
        <v>20</v>
      </c>
      <c r="J16" t="str">
        <f>IF(SportClimbing[[#This Row],[Height (m)]]&lt;15, "10-14", IF(SportClimbing[[#This Row],[Height (m)]]&lt;20, "15-19", IF(SportClimbing[[#This Row],[Height (m)]]&lt;25, "20-24", IF(SportClimbing[[#This Row],[Height (m)]]&lt;30, "25-29", IF(SportClimbing[[#This Row],[Height (m)]]&lt;35, "30-34", "35+")))))</f>
        <v>20-24</v>
      </c>
      <c r="K16" t="s">
        <v>38</v>
      </c>
      <c r="L16">
        <v>2</v>
      </c>
    </row>
    <row r="17" spans="1:12" x14ac:dyDescent="0.2">
      <c r="A17">
        <v>9</v>
      </c>
      <c r="B17" t="s">
        <v>376</v>
      </c>
      <c r="C17">
        <v>2013</v>
      </c>
      <c r="D17" t="s">
        <v>39</v>
      </c>
      <c r="E17" t="s">
        <v>3</v>
      </c>
      <c r="F17" t="s">
        <v>263</v>
      </c>
      <c r="G17" t="s">
        <v>22</v>
      </c>
      <c r="H17" t="s">
        <v>23</v>
      </c>
      <c r="I17">
        <v>20</v>
      </c>
      <c r="J17" t="str">
        <f>IF(SportClimbing[[#This Row],[Height (m)]]&lt;15, "10-14", IF(SportClimbing[[#This Row],[Height (m)]]&lt;20, "15-19", IF(SportClimbing[[#This Row],[Height (m)]]&lt;25, "20-24", IF(SportClimbing[[#This Row],[Height (m)]]&lt;30, "25-29", IF(SportClimbing[[#This Row],[Height (m)]]&lt;35, "30-34", "35+")))))</f>
        <v>20-24</v>
      </c>
      <c r="K17" t="s">
        <v>38</v>
      </c>
      <c r="L17">
        <v>2</v>
      </c>
    </row>
    <row r="18" spans="1:12" x14ac:dyDescent="0.2">
      <c r="A18">
        <v>21</v>
      </c>
      <c r="B18" t="s">
        <v>376</v>
      </c>
      <c r="C18">
        <v>2013</v>
      </c>
      <c r="D18" t="s">
        <v>41</v>
      </c>
      <c r="E18" t="s">
        <v>32</v>
      </c>
      <c r="F18" t="s">
        <v>263</v>
      </c>
      <c r="G18" t="s">
        <v>25</v>
      </c>
      <c r="H18" t="s">
        <v>26</v>
      </c>
      <c r="I18">
        <v>18</v>
      </c>
      <c r="J18" t="str">
        <f>IF(SportClimbing[[#This Row],[Height (m)]]&lt;15, "10-14", IF(SportClimbing[[#This Row],[Height (m)]]&lt;20, "15-19", IF(SportClimbing[[#This Row],[Height (m)]]&lt;25, "20-24", IF(SportClimbing[[#This Row],[Height (m)]]&lt;30, "25-29", IF(SportClimbing[[#This Row],[Height (m)]]&lt;35, "30-34", "35+")))))</f>
        <v>15-19</v>
      </c>
      <c r="K18" t="s">
        <v>147</v>
      </c>
      <c r="L18">
        <v>8</v>
      </c>
    </row>
    <row r="19" spans="1:12" x14ac:dyDescent="0.2">
      <c r="A19">
        <v>10</v>
      </c>
      <c r="B19" t="s">
        <v>377</v>
      </c>
      <c r="C19">
        <v>2013</v>
      </c>
      <c r="D19" t="s">
        <v>54</v>
      </c>
      <c r="E19" t="s">
        <v>32</v>
      </c>
      <c r="F19" t="s">
        <v>263</v>
      </c>
      <c r="G19" t="s">
        <v>25</v>
      </c>
      <c r="H19" t="s">
        <v>26</v>
      </c>
      <c r="I19">
        <v>25</v>
      </c>
      <c r="J19" t="str">
        <f>IF(SportClimbing[[#This Row],[Height (m)]]&lt;15, "10-14", IF(SportClimbing[[#This Row],[Height (m)]]&lt;20, "15-19", IF(SportClimbing[[#This Row],[Height (m)]]&lt;25, "20-24", IF(SportClimbing[[#This Row],[Height (m)]]&lt;30, "25-29", IF(SportClimbing[[#This Row],[Height (m)]]&lt;35, "30-34", "35+")))))</f>
        <v>25-29</v>
      </c>
      <c r="K19" t="s">
        <v>148</v>
      </c>
      <c r="L19">
        <v>14</v>
      </c>
    </row>
    <row r="20" spans="1:12" x14ac:dyDescent="0.2">
      <c r="A20">
        <v>13</v>
      </c>
      <c r="B20" t="s">
        <v>377</v>
      </c>
      <c r="C20">
        <v>2013</v>
      </c>
      <c r="D20" t="s">
        <v>45</v>
      </c>
      <c r="E20" t="s">
        <v>3</v>
      </c>
      <c r="F20" t="s">
        <v>263</v>
      </c>
      <c r="G20" t="s">
        <v>43</v>
      </c>
      <c r="H20" t="s">
        <v>91</v>
      </c>
      <c r="I20">
        <v>30</v>
      </c>
      <c r="J20" t="str">
        <f>IF(SportClimbing[[#This Row],[Height (m)]]&lt;15, "10-14", IF(SportClimbing[[#This Row],[Height (m)]]&lt;20, "15-19", IF(SportClimbing[[#This Row],[Height (m)]]&lt;25, "20-24", IF(SportClimbing[[#This Row],[Height (m)]]&lt;30, "25-29", IF(SportClimbing[[#This Row],[Height (m)]]&lt;35, "30-34", "35+")))))</f>
        <v>30-34</v>
      </c>
      <c r="K20" t="s">
        <v>219</v>
      </c>
      <c r="L20" t="s">
        <v>130</v>
      </c>
    </row>
    <row r="21" spans="1:12" x14ac:dyDescent="0.2">
      <c r="A21">
        <v>13</v>
      </c>
      <c r="B21" t="s">
        <v>377</v>
      </c>
      <c r="C21">
        <v>2013</v>
      </c>
      <c r="D21" t="s">
        <v>46</v>
      </c>
      <c r="E21" t="s">
        <v>3</v>
      </c>
      <c r="F21" t="s">
        <v>263</v>
      </c>
      <c r="G21" t="s">
        <v>43</v>
      </c>
      <c r="H21" t="s">
        <v>91</v>
      </c>
      <c r="I21">
        <v>30</v>
      </c>
      <c r="J21" t="str">
        <f>IF(SportClimbing[[#This Row],[Height (m)]]&lt;15, "10-14", IF(SportClimbing[[#This Row],[Height (m)]]&lt;20, "15-19", IF(SportClimbing[[#This Row],[Height (m)]]&lt;25, "20-24", IF(SportClimbing[[#This Row],[Height (m)]]&lt;30, "25-29", IF(SportClimbing[[#This Row],[Height (m)]]&lt;35, "30-34", "35+")))))</f>
        <v>30-34</v>
      </c>
      <c r="K21" t="s">
        <v>52</v>
      </c>
      <c r="L21" t="s">
        <v>130</v>
      </c>
    </row>
    <row r="22" spans="1:12" x14ac:dyDescent="0.2">
      <c r="A22">
        <v>13</v>
      </c>
      <c r="B22" t="s">
        <v>377</v>
      </c>
      <c r="C22">
        <v>2013</v>
      </c>
      <c r="D22" t="s">
        <v>198</v>
      </c>
      <c r="E22" t="s">
        <v>3</v>
      </c>
      <c r="F22" t="s">
        <v>263</v>
      </c>
      <c r="G22" t="s">
        <v>43</v>
      </c>
      <c r="H22" t="s">
        <v>91</v>
      </c>
      <c r="I22">
        <v>25</v>
      </c>
      <c r="J22" t="str">
        <f>IF(SportClimbing[[#This Row],[Height (m)]]&lt;15, "10-14", IF(SportClimbing[[#This Row],[Height (m)]]&lt;20, "15-19", IF(SportClimbing[[#This Row],[Height (m)]]&lt;25, "20-24", IF(SportClimbing[[#This Row],[Height (m)]]&lt;30, "25-29", IF(SportClimbing[[#This Row],[Height (m)]]&lt;35, "30-34", "35+")))))</f>
        <v>25-29</v>
      </c>
      <c r="K22" t="s">
        <v>146</v>
      </c>
      <c r="L22">
        <v>2</v>
      </c>
    </row>
    <row r="23" spans="1:12" x14ac:dyDescent="0.2">
      <c r="A23">
        <v>17</v>
      </c>
      <c r="B23" t="s">
        <v>377</v>
      </c>
      <c r="C23">
        <v>2013</v>
      </c>
      <c r="D23" t="s">
        <v>47</v>
      </c>
      <c r="E23" t="s">
        <v>32</v>
      </c>
      <c r="F23" t="s">
        <v>263</v>
      </c>
      <c r="G23" t="s">
        <v>22</v>
      </c>
      <c r="H23" t="s">
        <v>23</v>
      </c>
      <c r="I23">
        <v>20</v>
      </c>
      <c r="J23" t="str">
        <f>IF(SportClimbing[[#This Row],[Height (m)]]&lt;15, "10-14", IF(SportClimbing[[#This Row],[Height (m)]]&lt;20, "15-19", IF(SportClimbing[[#This Row],[Height (m)]]&lt;25, "20-24", IF(SportClimbing[[#This Row],[Height (m)]]&lt;30, "25-29", IF(SportClimbing[[#This Row],[Height (m)]]&lt;35, "30-34", "35+")))))</f>
        <v>20-24</v>
      </c>
      <c r="K23" t="s">
        <v>146</v>
      </c>
      <c r="L23">
        <v>2</v>
      </c>
    </row>
    <row r="24" spans="1:12" x14ac:dyDescent="0.2">
      <c r="A24">
        <v>4</v>
      </c>
      <c r="B24" t="s">
        <v>155</v>
      </c>
      <c r="C24">
        <v>2013</v>
      </c>
      <c r="D24" t="s">
        <v>48</v>
      </c>
      <c r="E24" t="s">
        <v>32</v>
      </c>
      <c r="F24" t="s">
        <v>263</v>
      </c>
      <c r="G24" t="s">
        <v>49</v>
      </c>
      <c r="H24" t="s">
        <v>50</v>
      </c>
      <c r="I24">
        <v>22</v>
      </c>
      <c r="J24" t="str">
        <f>IF(SportClimbing[[#This Row],[Height (m)]]&lt;15, "10-14", IF(SportClimbing[[#This Row],[Height (m)]]&lt;20, "15-19", IF(SportClimbing[[#This Row],[Height (m)]]&lt;25, "20-24", IF(SportClimbing[[#This Row],[Height (m)]]&lt;30, "25-29", IF(SportClimbing[[#This Row],[Height (m)]]&lt;35, "30-34", "35+")))))</f>
        <v>20-24</v>
      </c>
      <c r="K24" t="s">
        <v>148</v>
      </c>
      <c r="L24">
        <v>10</v>
      </c>
    </row>
    <row r="25" spans="1:12" x14ac:dyDescent="0.2">
      <c r="A25">
        <v>29</v>
      </c>
      <c r="B25" t="s">
        <v>155</v>
      </c>
      <c r="C25">
        <v>2013</v>
      </c>
      <c r="D25" t="s">
        <v>51</v>
      </c>
      <c r="E25" t="s">
        <v>3</v>
      </c>
      <c r="F25" t="s">
        <v>263</v>
      </c>
      <c r="G25" t="s">
        <v>49</v>
      </c>
      <c r="H25" t="s">
        <v>50</v>
      </c>
      <c r="I25">
        <v>18</v>
      </c>
      <c r="J25" t="str">
        <f>IF(SportClimbing[[#This Row],[Height (m)]]&lt;15, "10-14", IF(SportClimbing[[#This Row],[Height (m)]]&lt;20, "15-19", IF(SportClimbing[[#This Row],[Height (m)]]&lt;25, "20-24", IF(SportClimbing[[#This Row],[Height (m)]]&lt;30, "25-29", IF(SportClimbing[[#This Row],[Height (m)]]&lt;35, "30-34", "35+")))))</f>
        <v>15-19</v>
      </c>
      <c r="K25" t="s">
        <v>148</v>
      </c>
      <c r="L25">
        <v>2</v>
      </c>
    </row>
    <row r="26" spans="1:12" x14ac:dyDescent="0.2">
      <c r="A26">
        <v>13</v>
      </c>
      <c r="B26" t="s">
        <v>375</v>
      </c>
      <c r="C26">
        <v>2016</v>
      </c>
      <c r="D26" t="s">
        <v>88</v>
      </c>
      <c r="E26" t="s">
        <v>3</v>
      </c>
      <c r="F26" t="s">
        <v>263</v>
      </c>
      <c r="G26" t="s">
        <v>25</v>
      </c>
      <c r="H26" t="s">
        <v>86</v>
      </c>
      <c r="I26">
        <v>15</v>
      </c>
      <c r="J26" t="str">
        <f>IF(SportClimbing[[#This Row],[Height (m)]]&lt;15, "10-14", IF(SportClimbing[[#This Row],[Height (m)]]&lt;20, "15-19", IF(SportClimbing[[#This Row],[Height (m)]]&lt;25, "20-24", IF(SportClimbing[[#This Row],[Height (m)]]&lt;30, "25-29", IF(SportClimbing[[#This Row],[Height (m)]]&lt;35, "30-34", "35+")))))</f>
        <v>15-19</v>
      </c>
      <c r="K26" t="s">
        <v>87</v>
      </c>
      <c r="L26">
        <v>2</v>
      </c>
    </row>
    <row r="27" spans="1:12" x14ac:dyDescent="0.2">
      <c r="A27">
        <v>12</v>
      </c>
      <c r="B27" t="s">
        <v>160</v>
      </c>
      <c r="C27">
        <v>2016</v>
      </c>
      <c r="D27" t="s">
        <v>62</v>
      </c>
      <c r="E27" t="s">
        <v>3</v>
      </c>
      <c r="F27" t="s">
        <v>263</v>
      </c>
      <c r="G27" t="s">
        <v>43</v>
      </c>
      <c r="H27" t="s">
        <v>239</v>
      </c>
      <c r="I27">
        <v>25</v>
      </c>
      <c r="J27" t="str">
        <f>IF(SportClimbing[[#This Row],[Height (m)]]&lt;15, "10-14", IF(SportClimbing[[#This Row],[Height (m)]]&lt;20, "15-19", IF(SportClimbing[[#This Row],[Height (m)]]&lt;25, "20-24", IF(SportClimbing[[#This Row],[Height (m)]]&lt;30, "25-29", IF(SportClimbing[[#This Row],[Height (m)]]&lt;35, "30-34", "35+")))))</f>
        <v>25-29</v>
      </c>
      <c r="K27" t="s">
        <v>150</v>
      </c>
      <c r="L27" t="s">
        <v>11</v>
      </c>
    </row>
    <row r="28" spans="1:12" x14ac:dyDescent="0.2">
      <c r="A28">
        <v>2</v>
      </c>
      <c r="B28" t="s">
        <v>377</v>
      </c>
      <c r="C28">
        <v>2017</v>
      </c>
      <c r="D28" t="s">
        <v>64</v>
      </c>
      <c r="E28" t="s">
        <v>3</v>
      </c>
      <c r="F28" t="s">
        <v>263</v>
      </c>
      <c r="G28" t="s">
        <v>43</v>
      </c>
      <c r="H28" t="s">
        <v>63</v>
      </c>
      <c r="I28">
        <v>20</v>
      </c>
      <c r="J28" t="str">
        <f>IF(SportClimbing[[#This Row],[Height (m)]]&lt;15, "10-14", IF(SportClimbing[[#This Row],[Height (m)]]&lt;20, "15-19", IF(SportClimbing[[#This Row],[Height (m)]]&lt;25, "20-24", IF(SportClimbing[[#This Row],[Height (m)]]&lt;30, "25-29", IF(SportClimbing[[#This Row],[Height (m)]]&lt;35, "30-34", "35+")))))</f>
        <v>20-24</v>
      </c>
      <c r="K28" t="s">
        <v>53</v>
      </c>
      <c r="L28">
        <v>2</v>
      </c>
    </row>
    <row r="29" spans="1:12" x14ac:dyDescent="0.2">
      <c r="A29">
        <v>13</v>
      </c>
      <c r="B29" t="s">
        <v>377</v>
      </c>
      <c r="C29">
        <v>2017</v>
      </c>
      <c r="D29" t="s">
        <v>58</v>
      </c>
      <c r="E29" t="s">
        <v>21</v>
      </c>
      <c r="F29" t="s">
        <v>263</v>
      </c>
      <c r="G29" t="s">
        <v>15</v>
      </c>
      <c r="H29" t="s">
        <v>59</v>
      </c>
      <c r="I29">
        <v>20</v>
      </c>
      <c r="J29" t="str">
        <f>IF(SportClimbing[[#This Row],[Height (m)]]&lt;15, "10-14", IF(SportClimbing[[#This Row],[Height (m)]]&lt;20, "15-19", IF(SportClimbing[[#This Row],[Height (m)]]&lt;25, "20-24", IF(SportClimbing[[#This Row],[Height (m)]]&lt;30, "25-29", IF(SportClimbing[[#This Row],[Height (m)]]&lt;35, "30-34", "35+")))))</f>
        <v>20-24</v>
      </c>
      <c r="K29" t="s">
        <v>131</v>
      </c>
      <c r="L29">
        <v>3</v>
      </c>
    </row>
    <row r="30" spans="1:12" x14ac:dyDescent="0.2">
      <c r="A30">
        <v>15</v>
      </c>
      <c r="B30" t="s">
        <v>377</v>
      </c>
      <c r="C30">
        <v>2017</v>
      </c>
      <c r="D30" t="s">
        <v>27</v>
      </c>
      <c r="E30" t="s">
        <v>3</v>
      </c>
      <c r="F30" t="s">
        <v>263</v>
      </c>
      <c r="G30" t="s">
        <v>15</v>
      </c>
      <c r="H30" t="s">
        <v>55</v>
      </c>
      <c r="I30">
        <v>25</v>
      </c>
      <c r="J30" t="str">
        <f>IF(SportClimbing[[#This Row],[Height (m)]]&lt;15, "10-14", IF(SportClimbing[[#This Row],[Height (m)]]&lt;20, "15-19", IF(SportClimbing[[#This Row],[Height (m)]]&lt;25, "20-24", IF(SportClimbing[[#This Row],[Height (m)]]&lt;30, "25-29", IF(SportClimbing[[#This Row],[Height (m)]]&lt;35, "30-34", "35+")))))</f>
        <v>25-29</v>
      </c>
      <c r="K30" t="s">
        <v>133</v>
      </c>
      <c r="L30">
        <v>8</v>
      </c>
    </row>
    <row r="31" spans="1:12" x14ac:dyDescent="0.2">
      <c r="A31">
        <v>19</v>
      </c>
      <c r="B31" t="s">
        <v>155</v>
      </c>
      <c r="C31">
        <v>2017</v>
      </c>
      <c r="D31" t="s">
        <v>56</v>
      </c>
      <c r="E31" t="s">
        <v>3</v>
      </c>
      <c r="F31" t="s">
        <v>263</v>
      </c>
      <c r="G31" t="s">
        <v>71</v>
      </c>
      <c r="H31" t="s">
        <v>57</v>
      </c>
      <c r="I31">
        <v>32</v>
      </c>
      <c r="J31" t="str">
        <f>IF(SportClimbing[[#This Row],[Height (m)]]&lt;15, "10-14", IF(SportClimbing[[#This Row],[Height (m)]]&lt;20, "15-19", IF(SportClimbing[[#This Row],[Height (m)]]&lt;25, "20-24", IF(SportClimbing[[#This Row],[Height (m)]]&lt;30, "25-29", IF(SportClimbing[[#This Row],[Height (m)]]&lt;35, "30-34", "35+")))))</f>
        <v>30-34</v>
      </c>
      <c r="K31" t="s">
        <v>34</v>
      </c>
      <c r="L31" t="s">
        <v>130</v>
      </c>
    </row>
    <row r="32" spans="1:12" x14ac:dyDescent="0.2">
      <c r="A32">
        <v>7</v>
      </c>
      <c r="B32" t="s">
        <v>375</v>
      </c>
      <c r="C32">
        <v>2017</v>
      </c>
      <c r="D32" t="s">
        <v>60</v>
      </c>
      <c r="E32" t="s">
        <v>3</v>
      </c>
      <c r="F32" t="s">
        <v>263</v>
      </c>
      <c r="G32" t="s">
        <v>43</v>
      </c>
      <c r="H32" t="s">
        <v>61</v>
      </c>
      <c r="I32">
        <v>25</v>
      </c>
      <c r="J32" t="str">
        <f>IF(SportClimbing[[#This Row],[Height (m)]]&lt;15, "10-14", IF(SportClimbing[[#This Row],[Height (m)]]&lt;20, "15-19", IF(SportClimbing[[#This Row],[Height (m)]]&lt;25, "20-24", IF(SportClimbing[[#This Row],[Height (m)]]&lt;30, "25-29", IF(SportClimbing[[#This Row],[Height (m)]]&lt;35, "30-34", "35+")))))</f>
        <v>25-29</v>
      </c>
      <c r="K32" t="s">
        <v>131</v>
      </c>
      <c r="L32">
        <v>3</v>
      </c>
    </row>
    <row r="33" spans="1:12" x14ac:dyDescent="0.2">
      <c r="A33">
        <v>20</v>
      </c>
      <c r="B33" t="s">
        <v>375</v>
      </c>
      <c r="C33">
        <v>2017</v>
      </c>
      <c r="D33" t="s">
        <v>65</v>
      </c>
      <c r="E33" t="s">
        <v>3</v>
      </c>
      <c r="F33" t="s">
        <v>263</v>
      </c>
      <c r="G33" t="s">
        <v>49</v>
      </c>
      <c r="H33" t="s">
        <v>66</v>
      </c>
      <c r="I33">
        <v>25</v>
      </c>
      <c r="J33" t="str">
        <f>IF(SportClimbing[[#This Row],[Height (m)]]&lt;15, "10-14", IF(SportClimbing[[#This Row],[Height (m)]]&lt;20, "15-19", IF(SportClimbing[[#This Row],[Height (m)]]&lt;25, "20-24", IF(SportClimbing[[#This Row],[Height (m)]]&lt;30, "25-29", IF(SportClimbing[[#This Row],[Height (m)]]&lt;35, "30-34", "35+")))))</f>
        <v>25-29</v>
      </c>
      <c r="K33" t="s">
        <v>149</v>
      </c>
      <c r="L33" t="s">
        <v>130</v>
      </c>
    </row>
    <row r="34" spans="1:12" x14ac:dyDescent="0.2">
      <c r="A34">
        <v>20</v>
      </c>
      <c r="B34" t="s">
        <v>375</v>
      </c>
      <c r="C34">
        <v>2017</v>
      </c>
      <c r="D34" t="s">
        <v>67</v>
      </c>
      <c r="E34" t="s">
        <v>21</v>
      </c>
      <c r="F34" t="s">
        <v>263</v>
      </c>
      <c r="G34" t="s">
        <v>49</v>
      </c>
      <c r="H34" t="s">
        <v>66</v>
      </c>
      <c r="I34">
        <v>25</v>
      </c>
      <c r="J34" t="str">
        <f>IF(SportClimbing[[#This Row],[Height (m)]]&lt;15, "10-14", IF(SportClimbing[[#This Row],[Height (m)]]&lt;20, "15-19", IF(SportClimbing[[#This Row],[Height (m)]]&lt;25, "20-24", IF(SportClimbing[[#This Row],[Height (m)]]&lt;30, "25-29", IF(SportClimbing[[#This Row],[Height (m)]]&lt;35, "30-34", "35+")))))</f>
        <v>25-29</v>
      </c>
      <c r="K34" t="s">
        <v>149</v>
      </c>
      <c r="L34" t="s">
        <v>130</v>
      </c>
    </row>
    <row r="35" spans="1:12" x14ac:dyDescent="0.2">
      <c r="A35">
        <v>8</v>
      </c>
      <c r="B35" t="s">
        <v>374</v>
      </c>
      <c r="C35">
        <v>2017</v>
      </c>
      <c r="D35" t="s">
        <v>73</v>
      </c>
      <c r="E35" t="s">
        <v>29</v>
      </c>
      <c r="F35" t="s">
        <v>263</v>
      </c>
      <c r="G35" t="s">
        <v>72</v>
      </c>
      <c r="H35" t="s">
        <v>74</v>
      </c>
      <c r="I35">
        <v>35</v>
      </c>
      <c r="J35" t="str">
        <f>IF(SportClimbing[[#This Row],[Height (m)]]&lt;15, "10-14", IF(SportClimbing[[#This Row],[Height (m)]]&lt;20, "15-19", IF(SportClimbing[[#This Row],[Height (m)]]&lt;25, "20-24", IF(SportClimbing[[#This Row],[Height (m)]]&lt;30, "25-29", IF(SportClimbing[[#This Row],[Height (m)]]&lt;35, "30-34", "35+")))))</f>
        <v>35+</v>
      </c>
      <c r="K35" t="s">
        <v>131</v>
      </c>
      <c r="L35">
        <v>2</v>
      </c>
    </row>
    <row r="36" spans="1:12" x14ac:dyDescent="0.2">
      <c r="A36">
        <v>12</v>
      </c>
      <c r="B36" t="s">
        <v>158</v>
      </c>
      <c r="C36">
        <v>2017</v>
      </c>
      <c r="D36" t="s">
        <v>90</v>
      </c>
      <c r="E36" t="s">
        <v>3</v>
      </c>
      <c r="F36" t="s">
        <v>263</v>
      </c>
      <c r="G36" t="s">
        <v>43</v>
      </c>
      <c r="H36" t="s">
        <v>44</v>
      </c>
      <c r="I36">
        <v>30</v>
      </c>
      <c r="J36" t="str">
        <f>IF(SportClimbing[[#This Row],[Height (m)]]&lt;15, "10-14", IF(SportClimbing[[#This Row],[Height (m)]]&lt;20, "15-19", IF(SportClimbing[[#This Row],[Height (m)]]&lt;25, "20-24", IF(SportClimbing[[#This Row],[Height (m)]]&lt;30, "25-29", IF(SportClimbing[[#This Row],[Height (m)]]&lt;35, "30-34", "35+")))))</f>
        <v>30-34</v>
      </c>
      <c r="K36" t="s">
        <v>89</v>
      </c>
      <c r="L36" t="s">
        <v>130</v>
      </c>
    </row>
    <row r="37" spans="1:12" x14ac:dyDescent="0.2">
      <c r="A37">
        <v>2</v>
      </c>
      <c r="B37" t="s">
        <v>159</v>
      </c>
      <c r="C37">
        <v>2017</v>
      </c>
      <c r="D37" t="s">
        <v>75</v>
      </c>
      <c r="E37" t="s">
        <v>3</v>
      </c>
      <c r="F37" t="s">
        <v>263</v>
      </c>
      <c r="G37" t="s">
        <v>76</v>
      </c>
      <c r="H37" t="s">
        <v>92</v>
      </c>
      <c r="I37">
        <v>25</v>
      </c>
      <c r="J37" t="str">
        <f>IF(SportClimbing[[#This Row],[Height (m)]]&lt;15, "10-14", IF(SportClimbing[[#This Row],[Height (m)]]&lt;20, "15-19", IF(SportClimbing[[#This Row],[Height (m)]]&lt;25, "20-24", IF(SportClimbing[[#This Row],[Height (m)]]&lt;30, "25-29", IF(SportClimbing[[#This Row],[Height (m)]]&lt;35, "30-34", "35+")))))</f>
        <v>25-29</v>
      </c>
      <c r="K37" t="s">
        <v>133</v>
      </c>
      <c r="L37">
        <v>3</v>
      </c>
    </row>
    <row r="38" spans="1:12" x14ac:dyDescent="0.2">
      <c r="A38">
        <v>13</v>
      </c>
      <c r="B38" t="s">
        <v>159</v>
      </c>
      <c r="C38">
        <v>2017</v>
      </c>
      <c r="D38" t="s">
        <v>82</v>
      </c>
      <c r="E38" t="s">
        <v>21</v>
      </c>
      <c r="F38" t="s">
        <v>263</v>
      </c>
      <c r="G38" t="s">
        <v>77</v>
      </c>
      <c r="H38" t="s">
        <v>78</v>
      </c>
      <c r="I38">
        <v>10</v>
      </c>
      <c r="J38" t="str">
        <f>IF(SportClimbing[[#This Row],[Height (m)]]&lt;15, "10-14", IF(SportClimbing[[#This Row],[Height (m)]]&lt;20, "15-19", IF(SportClimbing[[#This Row],[Height (m)]]&lt;25, "20-24", IF(SportClimbing[[#This Row],[Height (m)]]&lt;30, "25-29", IF(SportClimbing[[#This Row],[Height (m)]]&lt;35, "30-34", "35+")))))</f>
        <v>10-14</v>
      </c>
      <c r="K38" t="s">
        <v>83</v>
      </c>
      <c r="L38" t="s">
        <v>130</v>
      </c>
    </row>
    <row r="39" spans="1:12" x14ac:dyDescent="0.2">
      <c r="A39">
        <v>13</v>
      </c>
      <c r="B39" t="s">
        <v>159</v>
      </c>
      <c r="C39">
        <v>2017</v>
      </c>
      <c r="D39" t="s">
        <v>81</v>
      </c>
      <c r="E39" t="s">
        <v>3</v>
      </c>
      <c r="F39" t="s">
        <v>263</v>
      </c>
      <c r="G39" t="s">
        <v>77</v>
      </c>
      <c r="H39" t="s">
        <v>79</v>
      </c>
      <c r="I39">
        <v>10</v>
      </c>
      <c r="J39" t="str">
        <f>IF(SportClimbing[[#This Row],[Height (m)]]&lt;15, "10-14", IF(SportClimbing[[#This Row],[Height (m)]]&lt;20, "15-19", IF(SportClimbing[[#This Row],[Height (m)]]&lt;25, "20-24", IF(SportClimbing[[#This Row],[Height (m)]]&lt;30, "25-29", IF(SportClimbing[[#This Row],[Height (m)]]&lt;35, "30-34", "35+")))))</f>
        <v>10-14</v>
      </c>
      <c r="K39" t="s">
        <v>83</v>
      </c>
      <c r="L39" t="s">
        <v>130</v>
      </c>
    </row>
    <row r="40" spans="1:12" x14ac:dyDescent="0.2">
      <c r="A40">
        <v>13</v>
      </c>
      <c r="B40" t="s">
        <v>159</v>
      </c>
      <c r="C40">
        <v>2017</v>
      </c>
      <c r="D40" t="s">
        <v>80</v>
      </c>
      <c r="E40" t="s">
        <v>21</v>
      </c>
      <c r="F40" t="s">
        <v>263</v>
      </c>
      <c r="G40" t="s">
        <v>77</v>
      </c>
      <c r="H40" t="s">
        <v>79</v>
      </c>
      <c r="I40">
        <v>12</v>
      </c>
      <c r="J40" t="str">
        <f>IF(SportClimbing[[#This Row],[Height (m)]]&lt;15, "10-14", IF(SportClimbing[[#This Row],[Height (m)]]&lt;20, "15-19", IF(SportClimbing[[#This Row],[Height (m)]]&lt;25, "20-24", IF(SportClimbing[[#This Row],[Height (m)]]&lt;30, "25-29", IF(SportClimbing[[#This Row],[Height (m)]]&lt;35, "30-34", "35+")))))</f>
        <v>10-14</v>
      </c>
      <c r="K40" t="s">
        <v>83</v>
      </c>
      <c r="L40">
        <v>2</v>
      </c>
    </row>
    <row r="41" spans="1:12" x14ac:dyDescent="0.2">
      <c r="A41">
        <v>23</v>
      </c>
      <c r="B41" t="s">
        <v>159</v>
      </c>
      <c r="C41">
        <v>2017</v>
      </c>
      <c r="D41" t="s">
        <v>84</v>
      </c>
      <c r="E41" t="s">
        <v>21</v>
      </c>
      <c r="F41" t="s">
        <v>263</v>
      </c>
      <c r="G41" t="s">
        <v>49</v>
      </c>
      <c r="H41" t="s">
        <v>66</v>
      </c>
      <c r="I41">
        <v>25</v>
      </c>
      <c r="J41" t="str">
        <f>IF(SportClimbing[[#This Row],[Height (m)]]&lt;15, "10-14", IF(SportClimbing[[#This Row],[Height (m)]]&lt;20, "15-19", IF(SportClimbing[[#This Row],[Height (m)]]&lt;25, "20-24", IF(SportClimbing[[#This Row],[Height (m)]]&lt;30, "25-29", IF(SportClimbing[[#This Row],[Height (m)]]&lt;35, "30-34", "35+")))))</f>
        <v>25-29</v>
      </c>
      <c r="K41" t="s">
        <v>132</v>
      </c>
      <c r="L41" t="s">
        <v>130</v>
      </c>
    </row>
    <row r="42" spans="1:12" x14ac:dyDescent="0.2">
      <c r="A42">
        <v>25</v>
      </c>
      <c r="B42" t="s">
        <v>159</v>
      </c>
      <c r="C42">
        <v>2017</v>
      </c>
      <c r="D42" t="s">
        <v>85</v>
      </c>
      <c r="E42" t="s">
        <v>21</v>
      </c>
      <c r="F42" t="s">
        <v>263</v>
      </c>
      <c r="G42" t="s">
        <v>25</v>
      </c>
      <c r="H42" t="s">
        <v>86</v>
      </c>
      <c r="I42">
        <v>20</v>
      </c>
      <c r="J42" t="str">
        <f>IF(SportClimbing[[#This Row],[Height (m)]]&lt;15, "10-14", IF(SportClimbing[[#This Row],[Height (m)]]&lt;20, "15-19", IF(SportClimbing[[#This Row],[Height (m)]]&lt;25, "20-24", IF(SportClimbing[[#This Row],[Height (m)]]&lt;30, "25-29", IF(SportClimbing[[#This Row],[Height (m)]]&lt;35, "30-34", "35+")))))</f>
        <v>20-24</v>
      </c>
      <c r="K42" t="s">
        <v>132</v>
      </c>
      <c r="L42">
        <v>5</v>
      </c>
    </row>
    <row r="43" spans="1:12" x14ac:dyDescent="0.2">
      <c r="A43">
        <v>14</v>
      </c>
      <c r="B43" t="s">
        <v>162</v>
      </c>
      <c r="C43">
        <v>2017</v>
      </c>
      <c r="D43" t="s">
        <v>99</v>
      </c>
      <c r="E43" t="s">
        <v>21</v>
      </c>
      <c r="F43" t="s">
        <v>263</v>
      </c>
      <c r="G43" t="s">
        <v>43</v>
      </c>
      <c r="H43" t="s">
        <v>91</v>
      </c>
      <c r="I43">
        <v>30</v>
      </c>
      <c r="J43" t="str">
        <f>IF(SportClimbing[[#This Row],[Height (m)]]&lt;15, "10-14", IF(SportClimbing[[#This Row],[Height (m)]]&lt;20, "15-19", IF(SportClimbing[[#This Row],[Height (m)]]&lt;25, "20-24", IF(SportClimbing[[#This Row],[Height (m)]]&lt;30, "25-29", IF(SportClimbing[[#This Row],[Height (m)]]&lt;35, "30-34", "35+")))))</f>
        <v>30-34</v>
      </c>
      <c r="K43" t="s">
        <v>133</v>
      </c>
      <c r="L43">
        <v>3</v>
      </c>
    </row>
    <row r="44" spans="1:12" x14ac:dyDescent="0.2">
      <c r="A44">
        <v>15</v>
      </c>
      <c r="B44" t="s">
        <v>162</v>
      </c>
      <c r="C44">
        <v>2017</v>
      </c>
      <c r="D44" t="s">
        <v>98</v>
      </c>
      <c r="E44" t="s">
        <v>21</v>
      </c>
      <c r="F44" t="s">
        <v>263</v>
      </c>
      <c r="G44" t="s">
        <v>43</v>
      </c>
      <c r="H44" t="s">
        <v>44</v>
      </c>
      <c r="I44">
        <v>25</v>
      </c>
      <c r="J44" t="str">
        <f>IF(SportClimbing[[#This Row],[Height (m)]]&lt;15, "10-14", IF(SportClimbing[[#This Row],[Height (m)]]&lt;20, "15-19", IF(SportClimbing[[#This Row],[Height (m)]]&lt;25, "20-24", IF(SportClimbing[[#This Row],[Height (m)]]&lt;30, "25-29", IF(SportClimbing[[#This Row],[Height (m)]]&lt;35, "30-34", "35+")))))</f>
        <v>25-29</v>
      </c>
      <c r="K44" t="s">
        <v>17</v>
      </c>
      <c r="L44">
        <v>2</v>
      </c>
    </row>
    <row r="45" spans="1:12" x14ac:dyDescent="0.2">
      <c r="A45">
        <v>21</v>
      </c>
      <c r="B45" t="s">
        <v>162</v>
      </c>
      <c r="C45">
        <v>2017</v>
      </c>
      <c r="D45" t="s">
        <v>95</v>
      </c>
      <c r="E45" t="s">
        <v>21</v>
      </c>
      <c r="F45" t="s">
        <v>263</v>
      </c>
      <c r="G45" t="s">
        <v>43</v>
      </c>
      <c r="H45" t="s">
        <v>94</v>
      </c>
      <c r="I45">
        <v>25</v>
      </c>
      <c r="J45" t="str">
        <f>IF(SportClimbing[[#This Row],[Height (m)]]&lt;15, "10-14", IF(SportClimbing[[#This Row],[Height (m)]]&lt;20, "15-19", IF(SportClimbing[[#This Row],[Height (m)]]&lt;25, "20-24", IF(SportClimbing[[#This Row],[Height (m)]]&lt;30, "25-29", IF(SportClimbing[[#This Row],[Height (m)]]&lt;35, "30-34", "35+")))))</f>
        <v>25-29</v>
      </c>
      <c r="K45" t="s">
        <v>53</v>
      </c>
      <c r="L45" t="s">
        <v>130</v>
      </c>
    </row>
    <row r="46" spans="1:12" x14ac:dyDescent="0.2">
      <c r="A46">
        <v>21</v>
      </c>
      <c r="B46" t="s">
        <v>162</v>
      </c>
      <c r="C46">
        <v>2017</v>
      </c>
      <c r="D46" t="s">
        <v>97</v>
      </c>
      <c r="E46" t="s">
        <v>21</v>
      </c>
      <c r="F46" t="s">
        <v>263</v>
      </c>
      <c r="G46" t="s">
        <v>43</v>
      </c>
      <c r="H46" t="s">
        <v>91</v>
      </c>
      <c r="I46">
        <v>28</v>
      </c>
      <c r="J46" t="str">
        <f>IF(SportClimbing[[#This Row],[Height (m)]]&lt;15, "10-14", IF(SportClimbing[[#This Row],[Height (m)]]&lt;20, "15-19", IF(SportClimbing[[#This Row],[Height (m)]]&lt;25, "20-24", IF(SportClimbing[[#This Row],[Height (m)]]&lt;30, "25-29", IF(SportClimbing[[#This Row],[Height (m)]]&lt;35, "30-34", "35+")))))</f>
        <v>25-29</v>
      </c>
      <c r="K46" t="s">
        <v>53</v>
      </c>
      <c r="L46">
        <v>3</v>
      </c>
    </row>
    <row r="47" spans="1:12" x14ac:dyDescent="0.2">
      <c r="A47">
        <v>22</v>
      </c>
      <c r="B47" t="s">
        <v>162</v>
      </c>
      <c r="C47">
        <v>2017</v>
      </c>
      <c r="D47" t="s">
        <v>96</v>
      </c>
      <c r="E47" t="s">
        <v>3</v>
      </c>
      <c r="F47" t="s">
        <v>263</v>
      </c>
      <c r="G47" t="s">
        <v>43</v>
      </c>
      <c r="H47" t="s">
        <v>93</v>
      </c>
      <c r="I47">
        <v>30</v>
      </c>
      <c r="J47" t="str">
        <f>IF(SportClimbing[[#This Row],[Height (m)]]&lt;15, "10-14", IF(SportClimbing[[#This Row],[Height (m)]]&lt;20, "15-19", IF(SportClimbing[[#This Row],[Height (m)]]&lt;25, "20-24", IF(SportClimbing[[#This Row],[Height (m)]]&lt;30, "25-29", IF(SportClimbing[[#This Row],[Height (m)]]&lt;35, "30-34", "35+")))))</f>
        <v>30-34</v>
      </c>
      <c r="K47" t="s">
        <v>53</v>
      </c>
      <c r="L47" t="s">
        <v>130</v>
      </c>
    </row>
    <row r="48" spans="1:12" x14ac:dyDescent="0.2">
      <c r="A48">
        <v>28</v>
      </c>
      <c r="B48" t="s">
        <v>162</v>
      </c>
      <c r="C48">
        <v>2017</v>
      </c>
      <c r="D48" t="s">
        <v>101</v>
      </c>
      <c r="E48" t="s">
        <v>3</v>
      </c>
      <c r="F48" t="s">
        <v>263</v>
      </c>
      <c r="G48" t="s">
        <v>100</v>
      </c>
      <c r="H48" t="s">
        <v>214</v>
      </c>
      <c r="I48">
        <v>25</v>
      </c>
      <c r="J48" t="str">
        <f>IF(SportClimbing[[#This Row],[Height (m)]]&lt;15, "10-14", IF(SportClimbing[[#This Row],[Height (m)]]&lt;20, "15-19", IF(SportClimbing[[#This Row],[Height (m)]]&lt;25, "20-24", IF(SportClimbing[[#This Row],[Height (m)]]&lt;30, "25-29", IF(SportClimbing[[#This Row],[Height (m)]]&lt;35, "30-34", "35+")))))</f>
        <v>25-29</v>
      </c>
      <c r="K48" t="s">
        <v>132</v>
      </c>
      <c r="L48">
        <v>2</v>
      </c>
    </row>
    <row r="49" spans="1:12" x14ac:dyDescent="0.2">
      <c r="A49">
        <v>28</v>
      </c>
      <c r="B49" t="s">
        <v>162</v>
      </c>
      <c r="C49">
        <v>2017</v>
      </c>
      <c r="D49" t="s">
        <v>102</v>
      </c>
      <c r="E49" t="s">
        <v>3</v>
      </c>
      <c r="F49" t="s">
        <v>263</v>
      </c>
      <c r="G49" t="s">
        <v>100</v>
      </c>
      <c r="H49" t="s">
        <v>215</v>
      </c>
      <c r="I49">
        <v>25</v>
      </c>
      <c r="J49" t="str">
        <f>IF(SportClimbing[[#This Row],[Height (m)]]&lt;15, "10-14", IF(SportClimbing[[#This Row],[Height (m)]]&lt;20, "15-19", IF(SportClimbing[[#This Row],[Height (m)]]&lt;25, "20-24", IF(SportClimbing[[#This Row],[Height (m)]]&lt;30, "25-29", IF(SportClimbing[[#This Row],[Height (m)]]&lt;35, "30-34", "35+")))))</f>
        <v>25-29</v>
      </c>
      <c r="K49" t="s">
        <v>132</v>
      </c>
      <c r="L49">
        <v>4</v>
      </c>
    </row>
    <row r="50" spans="1:12" x14ac:dyDescent="0.2">
      <c r="A50">
        <v>4</v>
      </c>
      <c r="B50" t="s">
        <v>160</v>
      </c>
      <c r="C50">
        <v>2017</v>
      </c>
      <c r="D50" t="s">
        <v>103</v>
      </c>
      <c r="E50" t="s">
        <v>29</v>
      </c>
      <c r="F50" t="s">
        <v>263</v>
      </c>
      <c r="G50" t="s">
        <v>22</v>
      </c>
      <c r="H50" t="s">
        <v>23</v>
      </c>
      <c r="I50">
        <v>25</v>
      </c>
      <c r="J50" t="str">
        <f>IF(SportClimbing[[#This Row],[Height (m)]]&lt;15, "10-14", IF(SportClimbing[[#This Row],[Height (m)]]&lt;20, "15-19", IF(SportClimbing[[#This Row],[Height (m)]]&lt;25, "20-24", IF(SportClimbing[[#This Row],[Height (m)]]&lt;30, "25-29", IF(SportClimbing[[#This Row],[Height (m)]]&lt;35, "30-34", "35+")))))</f>
        <v>25-29</v>
      </c>
      <c r="K50" t="s">
        <v>104</v>
      </c>
      <c r="L50">
        <v>6</v>
      </c>
    </row>
    <row r="51" spans="1:12" x14ac:dyDescent="0.2">
      <c r="A51">
        <v>8</v>
      </c>
      <c r="B51" t="s">
        <v>161</v>
      </c>
      <c r="C51">
        <v>2017</v>
      </c>
      <c r="D51" t="s">
        <v>109</v>
      </c>
      <c r="E51" t="s">
        <v>21</v>
      </c>
      <c r="F51" t="s">
        <v>263</v>
      </c>
      <c r="G51" t="s">
        <v>43</v>
      </c>
      <c r="H51" t="s">
        <v>227</v>
      </c>
      <c r="I51">
        <v>25</v>
      </c>
      <c r="J51" t="str">
        <f>IF(SportClimbing[[#This Row],[Height (m)]]&lt;15, "10-14", IF(SportClimbing[[#This Row],[Height (m)]]&lt;20, "15-19", IF(SportClimbing[[#This Row],[Height (m)]]&lt;25, "20-24", IF(SportClimbing[[#This Row],[Height (m)]]&lt;30, "25-29", IF(SportClimbing[[#This Row],[Height (m)]]&lt;35, "30-34", "35+")))))</f>
        <v>25-29</v>
      </c>
      <c r="K51" t="s">
        <v>131</v>
      </c>
      <c r="L51">
        <v>2</v>
      </c>
    </row>
    <row r="52" spans="1:12" x14ac:dyDescent="0.2">
      <c r="A52">
        <v>9</v>
      </c>
      <c r="B52" t="s">
        <v>161</v>
      </c>
      <c r="C52">
        <v>2017</v>
      </c>
      <c r="D52" t="s">
        <v>108</v>
      </c>
      <c r="E52" t="s">
        <v>3</v>
      </c>
      <c r="F52" t="s">
        <v>263</v>
      </c>
      <c r="G52" t="s">
        <v>105</v>
      </c>
      <c r="H52" t="s">
        <v>117</v>
      </c>
      <c r="I52">
        <v>20</v>
      </c>
      <c r="J52" t="str">
        <f>IF(SportClimbing[[#This Row],[Height (m)]]&lt;15, "10-14", IF(SportClimbing[[#This Row],[Height (m)]]&lt;20, "15-19", IF(SportClimbing[[#This Row],[Height (m)]]&lt;25, "20-24", IF(SportClimbing[[#This Row],[Height (m)]]&lt;30, "25-29", IF(SportClimbing[[#This Row],[Height (m)]]&lt;35, "30-34", "35+")))))</f>
        <v>20-24</v>
      </c>
      <c r="K52" t="s">
        <v>38</v>
      </c>
      <c r="L52" t="s">
        <v>11</v>
      </c>
    </row>
    <row r="53" spans="1:12" x14ac:dyDescent="0.2">
      <c r="A53">
        <v>10</v>
      </c>
      <c r="B53" t="s">
        <v>161</v>
      </c>
      <c r="C53">
        <v>2017</v>
      </c>
      <c r="D53" t="s">
        <v>107</v>
      </c>
      <c r="E53" t="s">
        <v>21</v>
      </c>
      <c r="F53" t="s">
        <v>263</v>
      </c>
      <c r="G53" t="s">
        <v>43</v>
      </c>
      <c r="H53" t="s">
        <v>106</v>
      </c>
      <c r="I53">
        <v>20</v>
      </c>
      <c r="J53" t="str">
        <f>IF(SportClimbing[[#This Row],[Height (m)]]&lt;15, "10-14", IF(SportClimbing[[#This Row],[Height (m)]]&lt;20, "15-19", IF(SportClimbing[[#This Row],[Height (m)]]&lt;25, "20-24", IF(SportClimbing[[#This Row],[Height (m)]]&lt;30, "25-29", IF(SportClimbing[[#This Row],[Height (m)]]&lt;35, "30-34", "35+")))))</f>
        <v>20-24</v>
      </c>
      <c r="K53" t="s">
        <v>122</v>
      </c>
      <c r="L53">
        <v>3</v>
      </c>
    </row>
    <row r="54" spans="1:12" x14ac:dyDescent="0.2">
      <c r="A54">
        <v>16</v>
      </c>
      <c r="B54" t="s">
        <v>161</v>
      </c>
      <c r="C54">
        <v>2017</v>
      </c>
      <c r="D54" t="s">
        <v>112</v>
      </c>
      <c r="E54" t="s">
        <v>3</v>
      </c>
      <c r="F54" t="s">
        <v>263</v>
      </c>
      <c r="G54" t="s">
        <v>105</v>
      </c>
      <c r="H54" t="s">
        <v>110</v>
      </c>
      <c r="I54">
        <v>30</v>
      </c>
      <c r="J54" t="str">
        <f>IF(SportClimbing[[#This Row],[Height (m)]]&lt;15, "10-14", IF(SportClimbing[[#This Row],[Height (m)]]&lt;20, "15-19", IF(SportClimbing[[#This Row],[Height (m)]]&lt;25, "20-24", IF(SportClimbing[[#This Row],[Height (m)]]&lt;30, "25-29", IF(SportClimbing[[#This Row],[Height (m)]]&lt;35, "30-34", "35+")))))</f>
        <v>30-34</v>
      </c>
      <c r="K54" t="s">
        <v>111</v>
      </c>
      <c r="L54" t="s">
        <v>130</v>
      </c>
    </row>
    <row r="55" spans="1:12" x14ac:dyDescent="0.2">
      <c r="A55">
        <v>17</v>
      </c>
      <c r="B55" t="s">
        <v>161</v>
      </c>
      <c r="C55">
        <v>2017</v>
      </c>
      <c r="D55" t="s">
        <v>113</v>
      </c>
      <c r="E55" t="s">
        <v>29</v>
      </c>
      <c r="F55" t="s">
        <v>263</v>
      </c>
      <c r="G55" t="s">
        <v>105</v>
      </c>
      <c r="H55" t="s">
        <v>110</v>
      </c>
      <c r="I55">
        <v>30</v>
      </c>
      <c r="J55" t="str">
        <f>IF(SportClimbing[[#This Row],[Height (m)]]&lt;15, "10-14", IF(SportClimbing[[#This Row],[Height (m)]]&lt;20, "15-19", IF(SportClimbing[[#This Row],[Height (m)]]&lt;25, "20-24", IF(SportClimbing[[#This Row],[Height (m)]]&lt;30, "25-29", IF(SportClimbing[[#This Row],[Height (m)]]&lt;35, "30-34", "35+")))))</f>
        <v>30-34</v>
      </c>
      <c r="K55" t="s">
        <v>111</v>
      </c>
      <c r="L55">
        <v>2</v>
      </c>
    </row>
    <row r="56" spans="1:12" x14ac:dyDescent="0.2">
      <c r="A56">
        <v>30</v>
      </c>
      <c r="B56" t="s">
        <v>161</v>
      </c>
      <c r="C56">
        <v>2017</v>
      </c>
      <c r="D56" t="s">
        <v>116</v>
      </c>
      <c r="E56" t="s">
        <v>32</v>
      </c>
      <c r="F56" t="s">
        <v>263</v>
      </c>
      <c r="G56" t="s">
        <v>43</v>
      </c>
      <c r="H56" t="s">
        <v>115</v>
      </c>
      <c r="I56">
        <v>38</v>
      </c>
      <c r="J56" t="str">
        <f>IF(SportClimbing[[#This Row],[Height (m)]]&lt;15, "10-14", IF(SportClimbing[[#This Row],[Height (m)]]&lt;20, "15-19", IF(SportClimbing[[#This Row],[Height (m)]]&lt;25, "20-24", IF(SportClimbing[[#This Row],[Height (m)]]&lt;30, "25-29", IF(SportClimbing[[#This Row],[Height (m)]]&lt;35, "30-34", "35+")))))</f>
        <v>35+</v>
      </c>
      <c r="K56" t="s">
        <v>131</v>
      </c>
      <c r="L56" t="s">
        <v>130</v>
      </c>
    </row>
    <row r="57" spans="1:12" x14ac:dyDescent="0.2">
      <c r="A57">
        <v>31</v>
      </c>
      <c r="B57" t="s">
        <v>161</v>
      </c>
      <c r="C57">
        <v>2017</v>
      </c>
      <c r="D57" t="s">
        <v>199</v>
      </c>
      <c r="E57" t="s">
        <v>3</v>
      </c>
      <c r="F57" t="s">
        <v>263</v>
      </c>
      <c r="G57" t="s">
        <v>105</v>
      </c>
      <c r="H57" t="s">
        <v>114</v>
      </c>
      <c r="I57">
        <v>20</v>
      </c>
      <c r="J57" t="str">
        <f>IF(SportClimbing[[#This Row],[Height (m)]]&lt;15, "10-14", IF(SportClimbing[[#This Row],[Height (m)]]&lt;20, "15-19", IF(SportClimbing[[#This Row],[Height (m)]]&lt;25, "20-24", IF(SportClimbing[[#This Row],[Height (m)]]&lt;30, "25-29", IF(SportClimbing[[#This Row],[Height (m)]]&lt;35, "30-34", "35+")))))</f>
        <v>20-24</v>
      </c>
      <c r="K57" t="s">
        <v>131</v>
      </c>
      <c r="L57" t="s">
        <v>130</v>
      </c>
    </row>
    <row r="58" spans="1:12" x14ac:dyDescent="0.2">
      <c r="A58">
        <v>31</v>
      </c>
      <c r="B58" t="s">
        <v>161</v>
      </c>
      <c r="C58">
        <v>2017</v>
      </c>
      <c r="D58" t="s">
        <v>245</v>
      </c>
      <c r="E58" t="s">
        <v>21</v>
      </c>
      <c r="F58" t="s">
        <v>263</v>
      </c>
      <c r="G58" t="s">
        <v>105</v>
      </c>
      <c r="H58" t="s">
        <v>114</v>
      </c>
      <c r="I58">
        <v>25</v>
      </c>
      <c r="J58" t="str">
        <f>IF(SportClimbing[[#This Row],[Height (m)]]&lt;15, "10-14", IF(SportClimbing[[#This Row],[Height (m)]]&lt;20, "15-19", IF(SportClimbing[[#This Row],[Height (m)]]&lt;25, "20-24", IF(SportClimbing[[#This Row],[Height (m)]]&lt;30, "25-29", IF(SportClimbing[[#This Row],[Height (m)]]&lt;35, "30-34", "35+")))))</f>
        <v>25-29</v>
      </c>
      <c r="K58" t="s">
        <v>131</v>
      </c>
      <c r="L58">
        <v>2</v>
      </c>
    </row>
    <row r="59" spans="1:12" x14ac:dyDescent="0.2">
      <c r="A59">
        <v>5</v>
      </c>
      <c r="B59" t="s">
        <v>151</v>
      </c>
      <c r="C59">
        <v>2018</v>
      </c>
      <c r="D59" t="s">
        <v>119</v>
      </c>
      <c r="E59" t="s">
        <v>29</v>
      </c>
      <c r="F59" t="s">
        <v>263</v>
      </c>
      <c r="G59" t="s">
        <v>25</v>
      </c>
      <c r="H59" t="s">
        <v>26</v>
      </c>
      <c r="I59">
        <v>20</v>
      </c>
      <c r="J59" t="str">
        <f>IF(SportClimbing[[#This Row],[Height (m)]]&lt;15, "10-14", IF(SportClimbing[[#This Row],[Height (m)]]&lt;20, "15-19", IF(SportClimbing[[#This Row],[Height (m)]]&lt;25, "20-24", IF(SportClimbing[[#This Row],[Height (m)]]&lt;30, "25-29", IF(SportClimbing[[#This Row],[Height (m)]]&lt;35, "30-34", "35+")))))</f>
        <v>20-24</v>
      </c>
      <c r="K59" t="s">
        <v>120</v>
      </c>
      <c r="L59">
        <v>2</v>
      </c>
    </row>
    <row r="60" spans="1:12" x14ac:dyDescent="0.2">
      <c r="A60">
        <v>27</v>
      </c>
      <c r="B60" t="s">
        <v>151</v>
      </c>
      <c r="C60">
        <v>2018</v>
      </c>
      <c r="D60" t="s">
        <v>121</v>
      </c>
      <c r="E60" t="s">
        <v>32</v>
      </c>
      <c r="F60" t="s">
        <v>263</v>
      </c>
      <c r="G60" t="s">
        <v>22</v>
      </c>
      <c r="H60" t="s">
        <v>23</v>
      </c>
      <c r="I60">
        <v>25</v>
      </c>
      <c r="J60" t="str">
        <f>IF(SportClimbing[[#This Row],[Height (m)]]&lt;15, "10-14", IF(SportClimbing[[#This Row],[Height (m)]]&lt;20, "15-19", IF(SportClimbing[[#This Row],[Height (m)]]&lt;25, "20-24", IF(SportClimbing[[#This Row],[Height (m)]]&lt;30, "25-29", IF(SportClimbing[[#This Row],[Height (m)]]&lt;35, "30-34", "35+")))))</f>
        <v>25-29</v>
      </c>
      <c r="K60" t="s">
        <v>131</v>
      </c>
      <c r="L60">
        <v>10</v>
      </c>
    </row>
    <row r="61" spans="1:12" x14ac:dyDescent="0.2">
      <c r="A61">
        <v>3</v>
      </c>
      <c r="B61" t="s">
        <v>152</v>
      </c>
      <c r="C61">
        <v>2018</v>
      </c>
      <c r="D61" t="s">
        <v>125</v>
      </c>
      <c r="E61" t="s">
        <v>29</v>
      </c>
      <c r="F61" t="s">
        <v>263</v>
      </c>
      <c r="G61" t="s">
        <v>123</v>
      </c>
      <c r="H61" t="s">
        <v>124</v>
      </c>
      <c r="I61">
        <v>12</v>
      </c>
      <c r="J61" t="str">
        <f>IF(SportClimbing[[#This Row],[Height (m)]]&lt;15, "10-14", IF(SportClimbing[[#This Row],[Height (m)]]&lt;20, "15-19", IF(SportClimbing[[#This Row],[Height (m)]]&lt;25, "20-24", IF(SportClimbing[[#This Row],[Height (m)]]&lt;30, "25-29", IF(SportClimbing[[#This Row],[Height (m)]]&lt;35, "30-34", "35+")))))</f>
        <v>10-14</v>
      </c>
      <c r="K61" t="s">
        <v>131</v>
      </c>
      <c r="L61">
        <v>3</v>
      </c>
    </row>
    <row r="62" spans="1:12" x14ac:dyDescent="0.2">
      <c r="A62">
        <v>22</v>
      </c>
      <c r="B62" t="s">
        <v>152</v>
      </c>
      <c r="C62">
        <v>2018</v>
      </c>
      <c r="D62" t="s">
        <v>134</v>
      </c>
      <c r="E62" t="s">
        <v>29</v>
      </c>
      <c r="F62" t="s">
        <v>263</v>
      </c>
      <c r="G62" t="s">
        <v>126</v>
      </c>
      <c r="H62" t="s">
        <v>127</v>
      </c>
      <c r="I62">
        <v>32</v>
      </c>
      <c r="J62" t="str">
        <f>IF(SportClimbing[[#This Row],[Height (m)]]&lt;15, "10-14", IF(SportClimbing[[#This Row],[Height (m)]]&lt;20, "15-19", IF(SportClimbing[[#This Row],[Height (m)]]&lt;25, "20-24", IF(SportClimbing[[#This Row],[Height (m)]]&lt;30, "25-29", IF(SportClimbing[[#This Row],[Height (m)]]&lt;35, "30-34", "35+")))))</f>
        <v>30-34</v>
      </c>
      <c r="K62" t="s">
        <v>120</v>
      </c>
      <c r="L62" t="s">
        <v>11</v>
      </c>
    </row>
    <row r="63" spans="1:12" x14ac:dyDescent="0.2">
      <c r="A63">
        <v>23</v>
      </c>
      <c r="B63" t="s">
        <v>152</v>
      </c>
      <c r="C63">
        <v>2018</v>
      </c>
      <c r="D63" t="s">
        <v>135</v>
      </c>
      <c r="E63" t="s">
        <v>29</v>
      </c>
      <c r="F63" t="s">
        <v>263</v>
      </c>
      <c r="G63" t="s">
        <v>126</v>
      </c>
      <c r="H63" t="s">
        <v>128</v>
      </c>
      <c r="I63">
        <v>32</v>
      </c>
      <c r="J63" t="str">
        <f>IF(SportClimbing[[#This Row],[Height (m)]]&lt;15, "10-14", IF(SportClimbing[[#This Row],[Height (m)]]&lt;20, "15-19", IF(SportClimbing[[#This Row],[Height (m)]]&lt;25, "20-24", IF(SportClimbing[[#This Row],[Height (m)]]&lt;30, "25-29", IF(SportClimbing[[#This Row],[Height (m)]]&lt;35, "30-34", "35+")))))</f>
        <v>30-34</v>
      </c>
      <c r="K63" t="s">
        <v>120</v>
      </c>
      <c r="L63">
        <v>2</v>
      </c>
    </row>
    <row r="64" spans="1:12" x14ac:dyDescent="0.2">
      <c r="A64">
        <v>24</v>
      </c>
      <c r="B64" t="s">
        <v>152</v>
      </c>
      <c r="C64">
        <v>2018</v>
      </c>
      <c r="D64" t="s">
        <v>245</v>
      </c>
      <c r="E64" t="s">
        <v>3</v>
      </c>
      <c r="F64" t="s">
        <v>263</v>
      </c>
      <c r="G64" t="s">
        <v>126</v>
      </c>
      <c r="H64" t="s">
        <v>129</v>
      </c>
      <c r="I64">
        <v>32</v>
      </c>
      <c r="J64" t="str">
        <f>IF(SportClimbing[[#This Row],[Height (m)]]&lt;15, "10-14", IF(SportClimbing[[#This Row],[Height (m)]]&lt;20, "15-19", IF(SportClimbing[[#This Row],[Height (m)]]&lt;25, "20-24", IF(SportClimbing[[#This Row],[Height (m)]]&lt;30, "25-29", IF(SportClimbing[[#This Row],[Height (m)]]&lt;35, "30-34", "35+")))))</f>
        <v>30-34</v>
      </c>
      <c r="K64" t="s">
        <v>120</v>
      </c>
      <c r="L64" t="s">
        <v>130</v>
      </c>
    </row>
    <row r="65" spans="1:12" x14ac:dyDescent="0.2">
      <c r="A65">
        <v>18</v>
      </c>
      <c r="B65" t="s">
        <v>376</v>
      </c>
      <c r="C65">
        <v>2018</v>
      </c>
      <c r="D65" t="s">
        <v>174</v>
      </c>
      <c r="E65" t="s">
        <v>3</v>
      </c>
      <c r="F65" t="s">
        <v>263</v>
      </c>
      <c r="G65" t="s">
        <v>68</v>
      </c>
      <c r="H65" t="s">
        <v>173</v>
      </c>
      <c r="I65">
        <v>18</v>
      </c>
      <c r="J65" t="str">
        <f>IF(SportClimbing[[#This Row],[Height (m)]]&lt;15, "10-14", IF(SportClimbing[[#This Row],[Height (m)]]&lt;20, "15-19", IF(SportClimbing[[#This Row],[Height (m)]]&lt;25, "20-24", IF(SportClimbing[[#This Row],[Height (m)]]&lt;30, "25-29", IF(SportClimbing[[#This Row],[Height (m)]]&lt;35, "30-34", "35+")))))</f>
        <v>15-19</v>
      </c>
      <c r="K65" t="s">
        <v>164</v>
      </c>
      <c r="L65">
        <v>2</v>
      </c>
    </row>
    <row r="66" spans="1:12" x14ac:dyDescent="0.2">
      <c r="A66" s="3">
        <v>30</v>
      </c>
      <c r="B66" s="3" t="s">
        <v>376</v>
      </c>
      <c r="C66" s="3">
        <v>2018</v>
      </c>
      <c r="D66" s="3" t="s">
        <v>165</v>
      </c>
      <c r="E66" s="3" t="s">
        <v>69</v>
      </c>
      <c r="F66" s="3" t="s">
        <v>263</v>
      </c>
      <c r="G66" s="3" t="s">
        <v>126</v>
      </c>
      <c r="H66" s="3" t="s">
        <v>127</v>
      </c>
      <c r="I66" s="3">
        <v>20</v>
      </c>
      <c r="J66" s="3" t="str">
        <f>IF(SportClimbing[[#This Row],[Height (m)]]&lt;15, "10-14", IF(SportClimbing[[#This Row],[Height (m)]]&lt;20, "15-19", IF(SportClimbing[[#This Row],[Height (m)]]&lt;25, "20-24", IF(SportClimbing[[#This Row],[Height (m)]]&lt;30, "25-29", IF(SportClimbing[[#This Row],[Height (m)]]&lt;35, "30-34", "35+")))))</f>
        <v>20-24</v>
      </c>
      <c r="K66" s="3" t="s">
        <v>132</v>
      </c>
      <c r="L66" s="3">
        <v>5</v>
      </c>
    </row>
    <row r="67" spans="1:12" x14ac:dyDescent="0.2">
      <c r="A67">
        <v>31</v>
      </c>
      <c r="B67" t="s">
        <v>376</v>
      </c>
      <c r="C67">
        <v>2018</v>
      </c>
      <c r="D67" t="s">
        <v>167</v>
      </c>
      <c r="E67" t="s">
        <v>21</v>
      </c>
      <c r="F67" t="s">
        <v>263</v>
      </c>
      <c r="G67" t="s">
        <v>126</v>
      </c>
      <c r="H67" t="s">
        <v>265</v>
      </c>
      <c r="I67">
        <v>18</v>
      </c>
      <c r="J67" t="str">
        <f>IF(SportClimbing[[#This Row],[Height (m)]]&lt;15, "10-14", IF(SportClimbing[[#This Row],[Height (m)]]&lt;20, "15-19", IF(SportClimbing[[#This Row],[Height (m)]]&lt;25, "20-24", IF(SportClimbing[[#This Row],[Height (m)]]&lt;30, "25-29", IF(SportClimbing[[#This Row],[Height (m)]]&lt;35, "30-34", "35+")))))</f>
        <v>15-19</v>
      </c>
      <c r="K67" t="s">
        <v>132</v>
      </c>
      <c r="L67">
        <v>2</v>
      </c>
    </row>
    <row r="68" spans="1:12" x14ac:dyDescent="0.2">
      <c r="A68">
        <v>1</v>
      </c>
      <c r="B68" t="s">
        <v>377</v>
      </c>
      <c r="C68">
        <v>2018</v>
      </c>
      <c r="D68" t="s">
        <v>245</v>
      </c>
      <c r="E68" t="s">
        <v>32</v>
      </c>
      <c r="F68" t="s">
        <v>263</v>
      </c>
      <c r="G68" t="s">
        <v>126</v>
      </c>
      <c r="H68" t="s">
        <v>166</v>
      </c>
      <c r="I68">
        <v>30</v>
      </c>
      <c r="J68" t="str">
        <f>IF(SportClimbing[[#This Row],[Height (m)]]&lt;15, "10-14", IF(SportClimbing[[#This Row],[Height (m)]]&lt;20, "15-19", IF(SportClimbing[[#This Row],[Height (m)]]&lt;25, "20-24", IF(SportClimbing[[#This Row],[Height (m)]]&lt;30, "25-29", IF(SportClimbing[[#This Row],[Height (m)]]&lt;35, "30-34", "35+")))))</f>
        <v>30-34</v>
      </c>
      <c r="K68" t="s">
        <v>164</v>
      </c>
      <c r="L68">
        <v>2</v>
      </c>
    </row>
    <row r="69" spans="1:12" x14ac:dyDescent="0.2">
      <c r="A69">
        <v>2</v>
      </c>
      <c r="B69" t="s">
        <v>377</v>
      </c>
      <c r="C69">
        <v>2018</v>
      </c>
      <c r="D69" t="s">
        <v>245</v>
      </c>
      <c r="E69" t="s">
        <v>29</v>
      </c>
      <c r="F69" t="s">
        <v>263</v>
      </c>
      <c r="G69" t="s">
        <v>126</v>
      </c>
      <c r="H69" t="s">
        <v>168</v>
      </c>
      <c r="I69">
        <v>30</v>
      </c>
      <c r="J69" t="str">
        <f>IF(SportClimbing[[#This Row],[Height (m)]]&lt;15, "10-14", IF(SportClimbing[[#This Row],[Height (m)]]&lt;20, "15-19", IF(SportClimbing[[#This Row],[Height (m)]]&lt;25, "20-24", IF(SportClimbing[[#This Row],[Height (m)]]&lt;30, "25-29", IF(SportClimbing[[#This Row],[Height (m)]]&lt;35, "30-34", "35+")))))</f>
        <v>30-34</v>
      </c>
      <c r="K69" t="s">
        <v>132</v>
      </c>
      <c r="L69">
        <v>4</v>
      </c>
    </row>
    <row r="70" spans="1:12" x14ac:dyDescent="0.2">
      <c r="A70">
        <v>18</v>
      </c>
      <c r="B70" t="s">
        <v>377</v>
      </c>
      <c r="C70">
        <v>2018</v>
      </c>
      <c r="D70" t="s">
        <v>259</v>
      </c>
      <c r="E70" t="s">
        <v>29</v>
      </c>
      <c r="F70" t="s">
        <v>263</v>
      </c>
      <c r="G70" t="s">
        <v>105</v>
      </c>
      <c r="H70" t="s">
        <v>284</v>
      </c>
      <c r="I70">
        <v>25</v>
      </c>
      <c r="J70" t="str">
        <f>IF(SportClimbing[[#This Row],[Height (m)]]&lt;15, "10-14", IF(SportClimbing[[#This Row],[Height (m)]]&lt;20, "15-19", IF(SportClimbing[[#This Row],[Height (m)]]&lt;25, "20-24", IF(SportClimbing[[#This Row],[Height (m)]]&lt;30, "25-29", IF(SportClimbing[[#This Row],[Height (m)]]&lt;35, "30-34", "35+")))))</f>
        <v>25-29</v>
      </c>
      <c r="K70" t="s">
        <v>169</v>
      </c>
      <c r="L70">
        <v>2</v>
      </c>
    </row>
    <row r="71" spans="1:12" x14ac:dyDescent="0.2">
      <c r="A71">
        <v>20</v>
      </c>
      <c r="B71" t="s">
        <v>377</v>
      </c>
      <c r="C71">
        <v>2018</v>
      </c>
      <c r="D71" t="s">
        <v>170</v>
      </c>
      <c r="E71" t="s">
        <v>3</v>
      </c>
      <c r="F71" t="s">
        <v>263</v>
      </c>
      <c r="G71" t="s">
        <v>43</v>
      </c>
      <c r="H71" t="s">
        <v>61</v>
      </c>
      <c r="I71">
        <v>35</v>
      </c>
      <c r="J71" t="str">
        <f>IF(SportClimbing[[#This Row],[Height (m)]]&lt;15, "10-14", IF(SportClimbing[[#This Row],[Height (m)]]&lt;20, "15-19", IF(SportClimbing[[#This Row],[Height (m)]]&lt;25, "20-24", IF(SportClimbing[[#This Row],[Height (m)]]&lt;30, "25-29", IF(SportClimbing[[#This Row],[Height (m)]]&lt;35, "30-34", "35+")))))</f>
        <v>35+</v>
      </c>
      <c r="K71" t="s">
        <v>171</v>
      </c>
      <c r="L71" t="s">
        <v>130</v>
      </c>
    </row>
    <row r="72" spans="1:12" x14ac:dyDescent="0.2">
      <c r="A72">
        <v>22</v>
      </c>
      <c r="B72" t="s">
        <v>377</v>
      </c>
      <c r="C72">
        <v>2018</v>
      </c>
      <c r="D72" t="s">
        <v>172</v>
      </c>
      <c r="E72" t="s">
        <v>21</v>
      </c>
      <c r="F72" t="s">
        <v>263</v>
      </c>
      <c r="G72" t="s">
        <v>43</v>
      </c>
      <c r="H72" t="s">
        <v>202</v>
      </c>
      <c r="I72">
        <v>35</v>
      </c>
      <c r="J72" t="str">
        <f>IF(SportClimbing[[#This Row],[Height (m)]]&lt;15, "10-14", IF(SportClimbing[[#This Row],[Height (m)]]&lt;20, "15-19", IF(SportClimbing[[#This Row],[Height (m)]]&lt;25, "20-24", IF(SportClimbing[[#This Row],[Height (m)]]&lt;30, "25-29", IF(SportClimbing[[#This Row],[Height (m)]]&lt;35, "30-34", "35+")))))</f>
        <v>35+</v>
      </c>
      <c r="K72" t="s">
        <v>53</v>
      </c>
      <c r="L72" t="s">
        <v>130</v>
      </c>
    </row>
    <row r="73" spans="1:12" x14ac:dyDescent="0.2">
      <c r="A73">
        <v>28</v>
      </c>
      <c r="B73" t="s">
        <v>377</v>
      </c>
      <c r="C73">
        <v>2018</v>
      </c>
      <c r="D73" t="s">
        <v>178</v>
      </c>
      <c r="E73" t="s">
        <v>3</v>
      </c>
      <c r="F73" t="s">
        <v>263</v>
      </c>
      <c r="G73" t="s">
        <v>68</v>
      </c>
      <c r="H73" t="s">
        <v>180</v>
      </c>
      <c r="I73">
        <v>25</v>
      </c>
      <c r="J73" t="str">
        <f>IF(SportClimbing[[#This Row],[Height (m)]]&lt;15, "10-14", IF(SportClimbing[[#This Row],[Height (m)]]&lt;20, "15-19", IF(SportClimbing[[#This Row],[Height (m)]]&lt;25, "20-24", IF(SportClimbing[[#This Row],[Height (m)]]&lt;30, "25-29", IF(SportClimbing[[#This Row],[Height (m)]]&lt;35, "30-34", "35+")))))</f>
        <v>25-29</v>
      </c>
      <c r="K73" t="s">
        <v>164</v>
      </c>
      <c r="L73" t="s">
        <v>130</v>
      </c>
    </row>
    <row r="74" spans="1:12" x14ac:dyDescent="0.2">
      <c r="A74">
        <v>28</v>
      </c>
      <c r="B74" t="s">
        <v>377</v>
      </c>
      <c r="C74">
        <v>2018</v>
      </c>
      <c r="D74" t="s">
        <v>179</v>
      </c>
      <c r="E74" t="s">
        <v>21</v>
      </c>
      <c r="F74" t="s">
        <v>263</v>
      </c>
      <c r="G74" t="s">
        <v>68</v>
      </c>
      <c r="H74" t="s">
        <v>180</v>
      </c>
      <c r="I74">
        <v>25</v>
      </c>
      <c r="J74" t="str">
        <f>IF(SportClimbing[[#This Row],[Height (m)]]&lt;15, "10-14", IF(SportClimbing[[#This Row],[Height (m)]]&lt;20, "15-19", IF(SportClimbing[[#This Row],[Height (m)]]&lt;25, "20-24", IF(SportClimbing[[#This Row],[Height (m)]]&lt;30, "25-29", IF(SportClimbing[[#This Row],[Height (m)]]&lt;35, "30-34", "35+")))))</f>
        <v>25-29</v>
      </c>
      <c r="K74" t="s">
        <v>164</v>
      </c>
      <c r="L74">
        <v>2</v>
      </c>
    </row>
    <row r="75" spans="1:12" x14ac:dyDescent="0.2">
      <c r="A75">
        <v>29</v>
      </c>
      <c r="B75" t="s">
        <v>377</v>
      </c>
      <c r="C75">
        <v>2018</v>
      </c>
      <c r="D75" t="s">
        <v>176</v>
      </c>
      <c r="E75" t="s">
        <v>3</v>
      </c>
      <c r="F75" t="s">
        <v>263</v>
      </c>
      <c r="G75" t="s">
        <v>68</v>
      </c>
      <c r="H75" t="s">
        <v>175</v>
      </c>
      <c r="I75">
        <v>30</v>
      </c>
      <c r="J75" t="str">
        <f>IF(SportClimbing[[#This Row],[Height (m)]]&lt;15, "10-14", IF(SportClimbing[[#This Row],[Height (m)]]&lt;20, "15-19", IF(SportClimbing[[#This Row],[Height (m)]]&lt;25, "20-24", IF(SportClimbing[[#This Row],[Height (m)]]&lt;30, "25-29", IF(SportClimbing[[#This Row],[Height (m)]]&lt;35, "30-34", "35+")))))</f>
        <v>30-34</v>
      </c>
      <c r="K75" t="s">
        <v>169</v>
      </c>
      <c r="L75" t="s">
        <v>130</v>
      </c>
    </row>
    <row r="76" spans="1:12" x14ac:dyDescent="0.2">
      <c r="A76">
        <v>29</v>
      </c>
      <c r="B76" t="s">
        <v>377</v>
      </c>
      <c r="C76">
        <v>2018</v>
      </c>
      <c r="D76" t="s">
        <v>177</v>
      </c>
      <c r="E76" t="s">
        <v>29</v>
      </c>
      <c r="F76" t="s">
        <v>263</v>
      </c>
      <c r="G76" t="s">
        <v>68</v>
      </c>
      <c r="H76" t="s">
        <v>175</v>
      </c>
      <c r="I76">
        <v>10</v>
      </c>
      <c r="J76" t="str">
        <f>IF(SportClimbing[[#This Row],[Height (m)]]&lt;15, "10-14", IF(SportClimbing[[#This Row],[Height (m)]]&lt;20, "15-19", IF(SportClimbing[[#This Row],[Height (m)]]&lt;25, "20-24", IF(SportClimbing[[#This Row],[Height (m)]]&lt;30, "25-29", IF(SportClimbing[[#This Row],[Height (m)]]&lt;35, "30-34", "35+")))))</f>
        <v>10-14</v>
      </c>
      <c r="K76" t="s">
        <v>164</v>
      </c>
      <c r="L76">
        <v>3</v>
      </c>
    </row>
    <row r="77" spans="1:12" x14ac:dyDescent="0.2">
      <c r="A77">
        <v>26</v>
      </c>
      <c r="B77" t="s">
        <v>155</v>
      </c>
      <c r="C77">
        <v>2018</v>
      </c>
      <c r="D77" t="s">
        <v>182</v>
      </c>
      <c r="E77" t="s">
        <v>3</v>
      </c>
      <c r="F77" t="s">
        <v>263</v>
      </c>
      <c r="G77" t="s">
        <v>76</v>
      </c>
      <c r="H77" t="s">
        <v>183</v>
      </c>
      <c r="I77">
        <v>25</v>
      </c>
      <c r="J77" t="str">
        <f>IF(SportClimbing[[#This Row],[Height (m)]]&lt;15, "10-14", IF(SportClimbing[[#This Row],[Height (m)]]&lt;20, "15-19", IF(SportClimbing[[#This Row],[Height (m)]]&lt;25, "20-24", IF(SportClimbing[[#This Row],[Height (m)]]&lt;30, "25-29", IF(SportClimbing[[#This Row],[Height (m)]]&lt;35, "30-34", "35+")))))</f>
        <v>25-29</v>
      </c>
      <c r="K77" t="s">
        <v>133</v>
      </c>
      <c r="L77" t="s">
        <v>130</v>
      </c>
    </row>
    <row r="78" spans="1:12" x14ac:dyDescent="0.2">
      <c r="A78">
        <v>26</v>
      </c>
      <c r="B78" t="s">
        <v>155</v>
      </c>
      <c r="C78">
        <v>2018</v>
      </c>
      <c r="D78" t="s">
        <v>181</v>
      </c>
      <c r="E78" t="s">
        <v>21</v>
      </c>
      <c r="F78" t="s">
        <v>263</v>
      </c>
      <c r="G78" t="s">
        <v>76</v>
      </c>
      <c r="H78" t="s">
        <v>183</v>
      </c>
      <c r="I78">
        <v>25</v>
      </c>
      <c r="J78" t="str">
        <f>IF(SportClimbing[[#This Row],[Height (m)]]&lt;15, "10-14", IF(SportClimbing[[#This Row],[Height (m)]]&lt;20, "15-19", IF(SportClimbing[[#This Row],[Height (m)]]&lt;25, "20-24", IF(SportClimbing[[#This Row],[Height (m)]]&lt;30, "25-29", IF(SportClimbing[[#This Row],[Height (m)]]&lt;35, "30-34", "35+")))))</f>
        <v>25-29</v>
      </c>
      <c r="K78" t="s">
        <v>133</v>
      </c>
      <c r="L78" t="s">
        <v>130</v>
      </c>
    </row>
    <row r="79" spans="1:12" x14ac:dyDescent="0.2">
      <c r="A79">
        <v>10</v>
      </c>
      <c r="B79" t="s">
        <v>375</v>
      </c>
      <c r="C79">
        <v>2018</v>
      </c>
      <c r="D79" t="s">
        <v>185</v>
      </c>
      <c r="E79" t="s">
        <v>21</v>
      </c>
      <c r="F79" t="s">
        <v>263</v>
      </c>
      <c r="G79" t="s">
        <v>70</v>
      </c>
      <c r="H79" t="s">
        <v>184</v>
      </c>
      <c r="I79">
        <v>12</v>
      </c>
      <c r="J79" t="str">
        <f>IF(SportClimbing[[#This Row],[Height (m)]]&lt;15, "10-14", IF(SportClimbing[[#This Row],[Height (m)]]&lt;20, "15-19", IF(SportClimbing[[#This Row],[Height (m)]]&lt;25, "20-24", IF(SportClimbing[[#This Row],[Height (m)]]&lt;30, "25-29", IF(SportClimbing[[#This Row],[Height (m)]]&lt;35, "30-34", "35+")))))</f>
        <v>10-14</v>
      </c>
      <c r="K79" t="s">
        <v>164</v>
      </c>
      <c r="L79" t="s">
        <v>11</v>
      </c>
    </row>
    <row r="80" spans="1:12" x14ac:dyDescent="0.2">
      <c r="A80">
        <v>24</v>
      </c>
      <c r="B80" t="s">
        <v>375</v>
      </c>
      <c r="C80">
        <v>2018</v>
      </c>
      <c r="D80" t="s">
        <v>188</v>
      </c>
      <c r="E80" t="s">
        <v>21</v>
      </c>
      <c r="F80" t="s">
        <v>263</v>
      </c>
      <c r="G80" t="s">
        <v>186</v>
      </c>
      <c r="H80" t="s">
        <v>187</v>
      </c>
      <c r="I80">
        <v>25</v>
      </c>
      <c r="J80" t="str">
        <f>IF(SportClimbing[[#This Row],[Height (m)]]&lt;15, "10-14", IF(SportClimbing[[#This Row],[Height (m)]]&lt;20, "15-19", IF(SportClimbing[[#This Row],[Height (m)]]&lt;25, "20-24", IF(SportClimbing[[#This Row],[Height (m)]]&lt;30, "25-29", IF(SportClimbing[[#This Row],[Height (m)]]&lt;35, "30-34", "35+")))))</f>
        <v>25-29</v>
      </c>
      <c r="K80" t="s">
        <v>164</v>
      </c>
      <c r="L80">
        <v>2</v>
      </c>
    </row>
    <row r="81" spans="1:12" x14ac:dyDescent="0.2">
      <c r="A81">
        <v>10</v>
      </c>
      <c r="B81" t="s">
        <v>159</v>
      </c>
      <c r="C81">
        <v>2018</v>
      </c>
      <c r="D81" t="s">
        <v>190</v>
      </c>
      <c r="E81" t="s">
        <v>3</v>
      </c>
      <c r="F81" t="s">
        <v>263</v>
      </c>
      <c r="G81" t="s">
        <v>77</v>
      </c>
      <c r="H81" t="s">
        <v>257</v>
      </c>
      <c r="I81">
        <v>12</v>
      </c>
      <c r="J81" t="str">
        <f>IF(SportClimbing[[#This Row],[Height (m)]]&lt;15, "10-14", IF(SportClimbing[[#This Row],[Height (m)]]&lt;20, "15-19", IF(SportClimbing[[#This Row],[Height (m)]]&lt;25, "20-24", IF(SportClimbing[[#This Row],[Height (m)]]&lt;30, "25-29", IF(SportClimbing[[#This Row],[Height (m)]]&lt;35, "30-34", "35+")))))</f>
        <v>10-14</v>
      </c>
      <c r="K81" t="s">
        <v>83</v>
      </c>
      <c r="L81">
        <v>2</v>
      </c>
    </row>
    <row r="82" spans="1:12" x14ac:dyDescent="0.2">
      <c r="A82">
        <v>3</v>
      </c>
      <c r="B82" t="s">
        <v>160</v>
      </c>
      <c r="C82">
        <v>2018</v>
      </c>
      <c r="D82" t="s">
        <v>193</v>
      </c>
      <c r="E82" t="s">
        <v>3</v>
      </c>
      <c r="F82" t="s">
        <v>263</v>
      </c>
      <c r="G82" t="s">
        <v>43</v>
      </c>
      <c r="H82" t="s">
        <v>191</v>
      </c>
      <c r="I82">
        <v>22</v>
      </c>
      <c r="J82" t="str">
        <f>IF(SportClimbing[[#This Row],[Height (m)]]&lt;15, "10-14", IF(SportClimbing[[#This Row],[Height (m)]]&lt;20, "15-19", IF(SportClimbing[[#This Row],[Height (m)]]&lt;25, "20-24", IF(SportClimbing[[#This Row],[Height (m)]]&lt;30, "25-29", IF(SportClimbing[[#This Row],[Height (m)]]&lt;35, "30-34", "35+")))))</f>
        <v>20-24</v>
      </c>
      <c r="K82" t="s">
        <v>104</v>
      </c>
      <c r="L82" t="s">
        <v>130</v>
      </c>
    </row>
    <row r="83" spans="1:12" x14ac:dyDescent="0.2">
      <c r="A83">
        <v>3</v>
      </c>
      <c r="B83" t="s">
        <v>160</v>
      </c>
      <c r="C83">
        <v>2018</v>
      </c>
      <c r="D83" t="s">
        <v>192</v>
      </c>
      <c r="E83" t="s">
        <v>21</v>
      </c>
      <c r="F83" t="s">
        <v>263</v>
      </c>
      <c r="G83" t="s">
        <v>43</v>
      </c>
      <c r="H83" t="s">
        <v>191</v>
      </c>
      <c r="I83">
        <v>25</v>
      </c>
      <c r="J83" t="str">
        <f>IF(SportClimbing[[#This Row],[Height (m)]]&lt;15, "10-14", IF(SportClimbing[[#This Row],[Height (m)]]&lt;20, "15-19", IF(SportClimbing[[#This Row],[Height (m)]]&lt;25, "20-24", IF(SportClimbing[[#This Row],[Height (m)]]&lt;30, "25-29", IF(SportClimbing[[#This Row],[Height (m)]]&lt;35, "30-34", "35+")))))</f>
        <v>25-29</v>
      </c>
      <c r="K83" t="s">
        <v>104</v>
      </c>
      <c r="L83">
        <v>2</v>
      </c>
    </row>
    <row r="84" spans="1:12" x14ac:dyDescent="0.2">
      <c r="A84">
        <v>5</v>
      </c>
      <c r="B84" t="s">
        <v>377</v>
      </c>
      <c r="C84">
        <v>2019</v>
      </c>
      <c r="D84" t="s">
        <v>197</v>
      </c>
      <c r="E84" t="s">
        <v>3</v>
      </c>
      <c r="F84" t="s">
        <v>263</v>
      </c>
      <c r="G84" t="s">
        <v>43</v>
      </c>
      <c r="H84" t="s">
        <v>194</v>
      </c>
      <c r="I84">
        <v>30</v>
      </c>
      <c r="J84" t="str">
        <f>IF(SportClimbing[[#This Row],[Height (m)]]&lt;15, "10-14", IF(SportClimbing[[#This Row],[Height (m)]]&lt;20, "15-19", IF(SportClimbing[[#This Row],[Height (m)]]&lt;25, "20-24", IF(SportClimbing[[#This Row],[Height (m)]]&lt;30, "25-29", IF(SportClimbing[[#This Row],[Height (m)]]&lt;35, "30-34", "35+")))))</f>
        <v>30-34</v>
      </c>
      <c r="K84" t="s">
        <v>132</v>
      </c>
      <c r="L84">
        <v>2</v>
      </c>
    </row>
    <row r="85" spans="1:12" x14ac:dyDescent="0.2">
      <c r="A85">
        <v>6</v>
      </c>
      <c r="B85" t="s">
        <v>377</v>
      </c>
      <c r="C85">
        <v>2019</v>
      </c>
      <c r="D85" t="s">
        <v>196</v>
      </c>
      <c r="E85" t="s">
        <v>3</v>
      </c>
      <c r="F85" t="s">
        <v>263</v>
      </c>
      <c r="G85" t="s">
        <v>43</v>
      </c>
      <c r="H85" t="s">
        <v>195</v>
      </c>
      <c r="I85">
        <v>13</v>
      </c>
      <c r="J85" t="str">
        <f>IF(SportClimbing[[#This Row],[Height (m)]]&lt;15, "10-14", IF(SportClimbing[[#This Row],[Height (m)]]&lt;20, "15-19", IF(SportClimbing[[#This Row],[Height (m)]]&lt;25, "20-24", IF(SportClimbing[[#This Row],[Height (m)]]&lt;30, "25-29", IF(SportClimbing[[#This Row],[Height (m)]]&lt;35, "30-34", "35+")))))</f>
        <v>10-14</v>
      </c>
      <c r="K85" t="s">
        <v>132</v>
      </c>
      <c r="L85">
        <v>2</v>
      </c>
    </row>
    <row r="86" spans="1:12" x14ac:dyDescent="0.2">
      <c r="A86">
        <v>14</v>
      </c>
      <c r="B86" t="s">
        <v>377</v>
      </c>
      <c r="C86">
        <v>2019</v>
      </c>
      <c r="D86" t="s">
        <v>200</v>
      </c>
      <c r="E86" t="s">
        <v>21</v>
      </c>
      <c r="F86" t="s">
        <v>263</v>
      </c>
      <c r="G86" t="s">
        <v>70</v>
      </c>
      <c r="H86" t="s">
        <v>201</v>
      </c>
      <c r="I86">
        <v>25</v>
      </c>
      <c r="J86" t="str">
        <f>IF(SportClimbing[[#This Row],[Height (m)]]&lt;15, "10-14", IF(SportClimbing[[#This Row],[Height (m)]]&lt;20, "15-19", IF(SportClimbing[[#This Row],[Height (m)]]&lt;25, "20-24", IF(SportClimbing[[#This Row],[Height (m)]]&lt;30, "25-29", IF(SportClimbing[[#This Row],[Height (m)]]&lt;35, "30-34", "35+")))))</f>
        <v>25-29</v>
      </c>
      <c r="K86" t="s">
        <v>133</v>
      </c>
      <c r="L86" t="s">
        <v>11</v>
      </c>
    </row>
    <row r="87" spans="1:12" x14ac:dyDescent="0.2">
      <c r="A87">
        <v>22</v>
      </c>
      <c r="B87" t="s">
        <v>159</v>
      </c>
      <c r="C87">
        <v>2019</v>
      </c>
      <c r="D87" t="s">
        <v>205</v>
      </c>
      <c r="E87" t="s">
        <v>21</v>
      </c>
      <c r="F87" t="s">
        <v>263</v>
      </c>
      <c r="G87" t="s">
        <v>70</v>
      </c>
      <c r="H87" t="s">
        <v>203</v>
      </c>
      <c r="I87">
        <v>20</v>
      </c>
      <c r="J87" t="str">
        <f>IF(SportClimbing[[#This Row],[Height (m)]]&lt;15, "10-14", IF(SportClimbing[[#This Row],[Height (m)]]&lt;20, "15-19", IF(SportClimbing[[#This Row],[Height (m)]]&lt;25, "20-24", IF(SportClimbing[[#This Row],[Height (m)]]&lt;30, "25-29", IF(SportClimbing[[#This Row],[Height (m)]]&lt;35, "30-34", "35+")))))</f>
        <v>20-24</v>
      </c>
      <c r="K87" t="s">
        <v>204</v>
      </c>
      <c r="L87">
        <v>2</v>
      </c>
    </row>
    <row r="88" spans="1:12" x14ac:dyDescent="0.2">
      <c r="A88">
        <v>1</v>
      </c>
      <c r="B88" t="s">
        <v>160</v>
      </c>
      <c r="C88">
        <v>2019</v>
      </c>
      <c r="D88" t="s">
        <v>206</v>
      </c>
      <c r="E88" t="s">
        <v>29</v>
      </c>
      <c r="F88" t="s">
        <v>263</v>
      </c>
      <c r="G88" t="s">
        <v>43</v>
      </c>
      <c r="H88" t="s">
        <v>202</v>
      </c>
      <c r="I88">
        <v>30</v>
      </c>
      <c r="J88" t="str">
        <f>IF(SportClimbing[[#This Row],[Height (m)]]&lt;15, "10-14", IF(SportClimbing[[#This Row],[Height (m)]]&lt;20, "15-19", IF(SportClimbing[[#This Row],[Height (m)]]&lt;25, "20-24", IF(SportClimbing[[#This Row],[Height (m)]]&lt;30, "25-29", IF(SportClimbing[[#This Row],[Height (m)]]&lt;35, "30-34", "35+")))))</f>
        <v>30-34</v>
      </c>
      <c r="K88" t="s">
        <v>132</v>
      </c>
      <c r="L88">
        <v>3</v>
      </c>
    </row>
    <row r="89" spans="1:12" x14ac:dyDescent="0.2">
      <c r="A89">
        <v>2</v>
      </c>
      <c r="B89" t="s">
        <v>160</v>
      </c>
      <c r="C89">
        <v>2019</v>
      </c>
      <c r="D89" t="s">
        <v>208</v>
      </c>
      <c r="E89" t="s">
        <v>3</v>
      </c>
      <c r="F89" t="s">
        <v>263</v>
      </c>
      <c r="G89" t="s">
        <v>43</v>
      </c>
      <c r="H89" t="s">
        <v>207</v>
      </c>
      <c r="I89">
        <v>30</v>
      </c>
      <c r="J89" t="str">
        <f>IF(SportClimbing[[#This Row],[Height (m)]]&lt;15, "10-14", IF(SportClimbing[[#This Row],[Height (m)]]&lt;20, "15-19", IF(SportClimbing[[#This Row],[Height (m)]]&lt;25, "20-24", IF(SportClimbing[[#This Row],[Height (m)]]&lt;30, "25-29", IF(SportClimbing[[#This Row],[Height (m)]]&lt;35, "30-34", "35+")))))</f>
        <v>30-34</v>
      </c>
      <c r="K89" t="s">
        <v>133</v>
      </c>
      <c r="L89">
        <v>2</v>
      </c>
    </row>
    <row r="90" spans="1:12" x14ac:dyDescent="0.2">
      <c r="A90">
        <v>16</v>
      </c>
      <c r="B90" t="s">
        <v>160</v>
      </c>
      <c r="C90">
        <v>2019</v>
      </c>
      <c r="D90" t="s">
        <v>210</v>
      </c>
      <c r="E90" t="s">
        <v>29</v>
      </c>
      <c r="F90" t="s">
        <v>263</v>
      </c>
      <c r="G90" t="s">
        <v>68</v>
      </c>
      <c r="H90" t="s">
        <v>173</v>
      </c>
      <c r="I90">
        <v>20</v>
      </c>
      <c r="J90" t="str">
        <f>IF(SportClimbing[[#This Row],[Height (m)]]&lt;15, "10-14", IF(SportClimbing[[#This Row],[Height (m)]]&lt;20, "15-19", IF(SportClimbing[[#This Row],[Height (m)]]&lt;25, "20-24", IF(SportClimbing[[#This Row],[Height (m)]]&lt;30, "25-29", IF(SportClimbing[[#This Row],[Height (m)]]&lt;35, "30-34", "35+")))))</f>
        <v>20-24</v>
      </c>
      <c r="K90" t="s">
        <v>209</v>
      </c>
      <c r="L90">
        <v>2</v>
      </c>
    </row>
    <row r="91" spans="1:12" x14ac:dyDescent="0.2">
      <c r="A91">
        <v>24</v>
      </c>
      <c r="B91" t="s">
        <v>158</v>
      </c>
      <c r="C91">
        <v>2020</v>
      </c>
      <c r="D91" t="s">
        <v>211</v>
      </c>
      <c r="E91" t="s">
        <v>21</v>
      </c>
      <c r="F91" t="s">
        <v>263</v>
      </c>
      <c r="G91" t="s">
        <v>43</v>
      </c>
      <c r="H91" t="s">
        <v>202</v>
      </c>
      <c r="I91">
        <v>35</v>
      </c>
      <c r="J91" t="str">
        <f>IF(SportClimbing[[#This Row],[Height (m)]]&lt;15, "10-14", IF(SportClimbing[[#This Row],[Height (m)]]&lt;20, "15-19", IF(SportClimbing[[#This Row],[Height (m)]]&lt;25, "20-24", IF(SportClimbing[[#This Row],[Height (m)]]&lt;30, "25-29", IF(SportClimbing[[#This Row],[Height (m)]]&lt;35, "30-34", "35+")))))</f>
        <v>35+</v>
      </c>
      <c r="K91" t="s">
        <v>212</v>
      </c>
      <c r="L91">
        <v>2</v>
      </c>
    </row>
    <row r="92" spans="1:12" x14ac:dyDescent="0.2">
      <c r="A92">
        <v>27</v>
      </c>
      <c r="B92" t="s">
        <v>158</v>
      </c>
      <c r="C92">
        <v>2020</v>
      </c>
      <c r="D92" t="s">
        <v>213</v>
      </c>
      <c r="E92" t="s">
        <v>29</v>
      </c>
      <c r="F92" t="s">
        <v>263</v>
      </c>
      <c r="G92" t="s">
        <v>43</v>
      </c>
      <c r="H92" t="s">
        <v>91</v>
      </c>
      <c r="I92">
        <v>22</v>
      </c>
      <c r="J92" t="str">
        <f>IF(SportClimbing[[#This Row],[Height (m)]]&lt;15, "10-14", IF(SportClimbing[[#This Row],[Height (m)]]&lt;20, "15-19", IF(SportClimbing[[#This Row],[Height (m)]]&lt;25, "20-24", IF(SportClimbing[[#This Row],[Height (m)]]&lt;30, "25-29", IF(SportClimbing[[#This Row],[Height (m)]]&lt;35, "30-34", "35+")))))</f>
        <v>20-24</v>
      </c>
      <c r="K92" t="s">
        <v>209</v>
      </c>
      <c r="L92">
        <v>6</v>
      </c>
    </row>
    <row r="93" spans="1:12" x14ac:dyDescent="0.2">
      <c r="A93">
        <v>20</v>
      </c>
      <c r="B93" t="s">
        <v>159</v>
      </c>
      <c r="C93">
        <v>2020</v>
      </c>
      <c r="D93" t="s">
        <v>216</v>
      </c>
      <c r="E93" t="s">
        <v>21</v>
      </c>
      <c r="F93" t="s">
        <v>263</v>
      </c>
      <c r="G93" t="s">
        <v>100</v>
      </c>
      <c r="H93" t="s">
        <v>214</v>
      </c>
      <c r="I93">
        <v>25</v>
      </c>
      <c r="J93" t="str">
        <f>IF(SportClimbing[[#This Row],[Height (m)]]&lt;15, "10-14", IF(SportClimbing[[#This Row],[Height (m)]]&lt;20, "15-19", IF(SportClimbing[[#This Row],[Height (m)]]&lt;25, "20-24", IF(SportClimbing[[#This Row],[Height (m)]]&lt;30, "25-29", IF(SportClimbing[[#This Row],[Height (m)]]&lt;35, "30-34", "35+")))))</f>
        <v>25-29</v>
      </c>
      <c r="K93" t="s">
        <v>132</v>
      </c>
      <c r="L93" t="s">
        <v>11</v>
      </c>
    </row>
    <row r="94" spans="1:12" x14ac:dyDescent="0.2">
      <c r="A94">
        <v>24</v>
      </c>
      <c r="B94" t="s">
        <v>159</v>
      </c>
      <c r="C94">
        <v>2020</v>
      </c>
      <c r="D94" t="s">
        <v>217</v>
      </c>
      <c r="E94" t="s">
        <v>32</v>
      </c>
      <c r="F94" t="s">
        <v>263</v>
      </c>
      <c r="G94" t="s">
        <v>100</v>
      </c>
      <c r="H94" t="s">
        <v>214</v>
      </c>
      <c r="I94">
        <v>25</v>
      </c>
      <c r="J94" t="str">
        <f>IF(SportClimbing[[#This Row],[Height (m)]]&lt;15, "10-14", IF(SportClimbing[[#This Row],[Height (m)]]&lt;20, "15-19", IF(SportClimbing[[#This Row],[Height (m)]]&lt;25, "20-24", IF(SportClimbing[[#This Row],[Height (m)]]&lt;30, "25-29", IF(SportClimbing[[#This Row],[Height (m)]]&lt;35, "30-34", "35+")))))</f>
        <v>25-29</v>
      </c>
      <c r="K94" t="s">
        <v>132</v>
      </c>
      <c r="L94">
        <v>4</v>
      </c>
    </row>
    <row r="95" spans="1:12" x14ac:dyDescent="0.2">
      <c r="A95">
        <v>24</v>
      </c>
      <c r="B95" t="s">
        <v>159</v>
      </c>
      <c r="C95">
        <v>2020</v>
      </c>
      <c r="D95" t="s">
        <v>218</v>
      </c>
      <c r="E95" t="s">
        <v>3</v>
      </c>
      <c r="F95" t="s">
        <v>263</v>
      </c>
      <c r="G95" t="s">
        <v>100</v>
      </c>
      <c r="H95" t="s">
        <v>214</v>
      </c>
      <c r="I95">
        <v>25</v>
      </c>
      <c r="J95" t="str">
        <f>IF(SportClimbing[[#This Row],[Height (m)]]&lt;15, "10-14", IF(SportClimbing[[#This Row],[Height (m)]]&lt;20, "15-19", IF(SportClimbing[[#This Row],[Height (m)]]&lt;25, "20-24", IF(SportClimbing[[#This Row],[Height (m)]]&lt;30, "25-29", IF(SportClimbing[[#This Row],[Height (m)]]&lt;35, "30-34", "35+")))))</f>
        <v>25-29</v>
      </c>
      <c r="K95" t="s">
        <v>219</v>
      </c>
      <c r="L95" t="s">
        <v>11</v>
      </c>
    </row>
    <row r="96" spans="1:12" x14ac:dyDescent="0.2">
      <c r="A96">
        <v>26</v>
      </c>
      <c r="B96" t="s">
        <v>159</v>
      </c>
      <c r="C96">
        <v>2020</v>
      </c>
      <c r="D96" t="s">
        <v>220</v>
      </c>
      <c r="E96" t="s">
        <v>21</v>
      </c>
      <c r="F96" t="s">
        <v>263</v>
      </c>
      <c r="G96" t="s">
        <v>100</v>
      </c>
      <c r="H96" t="s">
        <v>221</v>
      </c>
      <c r="I96">
        <v>25</v>
      </c>
      <c r="J96" t="str">
        <f>IF(SportClimbing[[#This Row],[Height (m)]]&lt;15, "10-14", IF(SportClimbing[[#This Row],[Height (m)]]&lt;20, "15-19", IF(SportClimbing[[#This Row],[Height (m)]]&lt;25, "20-24", IF(SportClimbing[[#This Row],[Height (m)]]&lt;30, "25-29", IF(SportClimbing[[#This Row],[Height (m)]]&lt;35, "30-34", "35+")))))</f>
        <v>25-29</v>
      </c>
      <c r="K96" t="s">
        <v>171</v>
      </c>
      <c r="L96" t="s">
        <v>130</v>
      </c>
    </row>
    <row r="97" spans="1:13" x14ac:dyDescent="0.2">
      <c r="A97">
        <v>17</v>
      </c>
      <c r="B97" t="s">
        <v>162</v>
      </c>
      <c r="C97">
        <v>2020</v>
      </c>
      <c r="D97" t="s">
        <v>224</v>
      </c>
      <c r="E97" t="s">
        <v>3</v>
      </c>
      <c r="F97" t="s">
        <v>263</v>
      </c>
      <c r="G97" t="s">
        <v>43</v>
      </c>
      <c r="H97" t="s">
        <v>225</v>
      </c>
      <c r="I97">
        <v>20</v>
      </c>
      <c r="J97" t="str">
        <f>IF(SportClimbing[[#This Row],[Height (m)]]&lt;15, "10-14", IF(SportClimbing[[#This Row],[Height (m)]]&lt;20, "15-19", IF(SportClimbing[[#This Row],[Height (m)]]&lt;25, "20-24", IF(SportClimbing[[#This Row],[Height (m)]]&lt;30, "25-29", IF(SportClimbing[[#This Row],[Height (m)]]&lt;35, "30-34", "35+")))))</f>
        <v>20-24</v>
      </c>
      <c r="K97" t="s">
        <v>132</v>
      </c>
      <c r="L97" t="s">
        <v>130</v>
      </c>
    </row>
    <row r="98" spans="1:13" x14ac:dyDescent="0.2">
      <c r="A98">
        <v>18</v>
      </c>
      <c r="B98" t="s">
        <v>162</v>
      </c>
      <c r="C98">
        <v>2020</v>
      </c>
      <c r="D98" t="s">
        <v>222</v>
      </c>
      <c r="E98" t="s">
        <v>32</v>
      </c>
      <c r="F98" t="s">
        <v>263</v>
      </c>
      <c r="G98" t="s">
        <v>43</v>
      </c>
      <c r="H98" t="s">
        <v>223</v>
      </c>
      <c r="I98">
        <v>28</v>
      </c>
      <c r="J98" t="str">
        <f>IF(SportClimbing[[#This Row],[Height (m)]]&lt;15, "10-14", IF(SportClimbing[[#This Row],[Height (m)]]&lt;20, "15-19", IF(SportClimbing[[#This Row],[Height (m)]]&lt;25, "20-24", IF(SportClimbing[[#This Row],[Height (m)]]&lt;30, "25-29", IF(SportClimbing[[#This Row],[Height (m)]]&lt;35, "30-34", "35+")))))</f>
        <v>25-29</v>
      </c>
      <c r="K98" t="s">
        <v>133</v>
      </c>
      <c r="L98">
        <v>4</v>
      </c>
    </row>
    <row r="99" spans="1:13" x14ac:dyDescent="0.2">
      <c r="A99">
        <v>24</v>
      </c>
      <c r="B99" t="s">
        <v>162</v>
      </c>
      <c r="C99">
        <v>2020</v>
      </c>
      <c r="D99" t="s">
        <v>245</v>
      </c>
      <c r="E99" t="s">
        <v>3</v>
      </c>
      <c r="F99" t="s">
        <v>263</v>
      </c>
      <c r="G99" t="s">
        <v>43</v>
      </c>
      <c r="H99" t="s">
        <v>91</v>
      </c>
      <c r="I99">
        <v>30</v>
      </c>
      <c r="J99" t="str">
        <f>IF(SportClimbing[[#This Row],[Height (m)]]&lt;15, "10-14", IF(SportClimbing[[#This Row],[Height (m)]]&lt;20, "15-19", IF(SportClimbing[[#This Row],[Height (m)]]&lt;25, "20-24", IF(SportClimbing[[#This Row],[Height (m)]]&lt;30, "25-29", IF(SportClimbing[[#This Row],[Height (m)]]&lt;35, "30-34", "35+")))))</f>
        <v>30-34</v>
      </c>
      <c r="K99" t="s">
        <v>209</v>
      </c>
      <c r="L99">
        <v>2</v>
      </c>
    </row>
    <row r="100" spans="1:13" x14ac:dyDescent="0.2">
      <c r="A100">
        <v>25</v>
      </c>
      <c r="B100" t="s">
        <v>162</v>
      </c>
      <c r="C100">
        <v>2020</v>
      </c>
      <c r="D100" t="s">
        <v>228</v>
      </c>
      <c r="E100" t="s">
        <v>3</v>
      </c>
      <c r="F100" t="s">
        <v>263</v>
      </c>
      <c r="G100" t="s">
        <v>43</v>
      </c>
      <c r="H100" t="s">
        <v>227</v>
      </c>
      <c r="I100">
        <v>30</v>
      </c>
      <c r="J100" t="str">
        <f>IF(SportClimbing[[#This Row],[Height (m)]]&lt;15, "10-14", IF(SportClimbing[[#This Row],[Height (m)]]&lt;20, "15-19", IF(SportClimbing[[#This Row],[Height (m)]]&lt;25, "20-24", IF(SportClimbing[[#This Row],[Height (m)]]&lt;30, "25-29", IF(SportClimbing[[#This Row],[Height (m)]]&lt;35, "30-34", "35+")))))</f>
        <v>30-34</v>
      </c>
      <c r="K100" t="s">
        <v>171</v>
      </c>
      <c r="L100" t="s">
        <v>130</v>
      </c>
    </row>
    <row r="101" spans="1:13" x14ac:dyDescent="0.2">
      <c r="A101" s="4">
        <v>22</v>
      </c>
      <c r="B101" s="4" t="s">
        <v>377</v>
      </c>
      <c r="C101" s="4">
        <v>2021</v>
      </c>
      <c r="D101" s="4" t="s">
        <v>235</v>
      </c>
      <c r="E101" s="4" t="s">
        <v>3</v>
      </c>
      <c r="F101" s="4" t="s">
        <v>263</v>
      </c>
      <c r="G101" s="4" t="s">
        <v>43</v>
      </c>
      <c r="H101" s="4" t="s">
        <v>229</v>
      </c>
      <c r="I101" s="4">
        <v>18</v>
      </c>
      <c r="J101" s="4" t="str">
        <f>IF(SportClimbing[[#This Row],[Height (m)]]&lt;15, "10-14", IF(SportClimbing[[#This Row],[Height (m)]]&lt;20, "15-19", IF(SportClimbing[[#This Row],[Height (m)]]&lt;25, "20-24", IF(SportClimbing[[#This Row],[Height (m)]]&lt;30, "25-29", IF(SportClimbing[[#This Row],[Height (m)]]&lt;35, "30-34", "35+")))))</f>
        <v>15-19</v>
      </c>
      <c r="K101" s="4" t="s">
        <v>231</v>
      </c>
      <c r="L101" s="4" t="s">
        <v>130</v>
      </c>
      <c r="M101">
        <v>100</v>
      </c>
    </row>
    <row r="102" spans="1:13" x14ac:dyDescent="0.2">
      <c r="A102">
        <v>23</v>
      </c>
      <c r="B102" t="s">
        <v>377</v>
      </c>
      <c r="C102">
        <v>2021</v>
      </c>
      <c r="D102" t="s">
        <v>236</v>
      </c>
      <c r="E102" t="s">
        <v>21</v>
      </c>
      <c r="F102" t="s">
        <v>263</v>
      </c>
      <c r="G102" t="s">
        <v>43</v>
      </c>
      <c r="H102" t="s">
        <v>94</v>
      </c>
      <c r="I102">
        <v>40</v>
      </c>
      <c r="J102" t="str">
        <f>IF(SportClimbing[[#This Row],[Height (m)]]&lt;15, "10-14", IF(SportClimbing[[#This Row],[Height (m)]]&lt;20, "15-19", IF(SportClimbing[[#This Row],[Height (m)]]&lt;25, "20-24", IF(SportClimbing[[#This Row],[Height (m)]]&lt;30, "25-29", IF(SportClimbing[[#This Row],[Height (m)]]&lt;35, "30-34", "35+")))))</f>
        <v>35+</v>
      </c>
      <c r="K102" t="s">
        <v>232</v>
      </c>
      <c r="L102" t="s">
        <v>130</v>
      </c>
    </row>
    <row r="103" spans="1:13" x14ac:dyDescent="0.2">
      <c r="A103">
        <v>24</v>
      </c>
      <c r="B103" t="s">
        <v>377</v>
      </c>
      <c r="C103">
        <v>2021</v>
      </c>
      <c r="D103" t="s">
        <v>237</v>
      </c>
      <c r="E103" t="s">
        <v>3</v>
      </c>
      <c r="F103" t="s">
        <v>263</v>
      </c>
      <c r="G103" t="s">
        <v>43</v>
      </c>
      <c r="H103" t="s">
        <v>230</v>
      </c>
      <c r="I103">
        <v>15</v>
      </c>
      <c r="J103" t="str">
        <f>IF(SportClimbing[[#This Row],[Height (m)]]&lt;15, "10-14", IF(SportClimbing[[#This Row],[Height (m)]]&lt;20, "15-19", IF(SportClimbing[[#This Row],[Height (m)]]&lt;25, "20-24", IF(SportClimbing[[#This Row],[Height (m)]]&lt;30, "25-29", IF(SportClimbing[[#This Row],[Height (m)]]&lt;35, "30-34", "35+")))))</f>
        <v>15-19</v>
      </c>
      <c r="K103" t="s">
        <v>232</v>
      </c>
      <c r="L103">
        <v>2</v>
      </c>
    </row>
    <row r="104" spans="1:13" x14ac:dyDescent="0.2">
      <c r="A104">
        <v>6</v>
      </c>
      <c r="B104" t="s">
        <v>155</v>
      </c>
      <c r="C104">
        <v>2021</v>
      </c>
      <c r="D104" t="s">
        <v>238</v>
      </c>
      <c r="E104" t="s">
        <v>3</v>
      </c>
      <c r="F104" t="s">
        <v>263</v>
      </c>
      <c r="G104" t="s">
        <v>100</v>
      </c>
      <c r="H104" t="s">
        <v>221</v>
      </c>
      <c r="I104">
        <v>20</v>
      </c>
      <c r="J104" t="str">
        <f>IF(SportClimbing[[#This Row],[Height (m)]]&lt;15, "10-14", IF(SportClimbing[[#This Row],[Height (m)]]&lt;20, "15-19", IF(SportClimbing[[#This Row],[Height (m)]]&lt;25, "20-24", IF(SportClimbing[[#This Row],[Height (m)]]&lt;30, "25-29", IF(SportClimbing[[#This Row],[Height (m)]]&lt;35, "30-34", "35+")))))</f>
        <v>20-24</v>
      </c>
      <c r="K104" t="s">
        <v>132</v>
      </c>
      <c r="L104" t="s">
        <v>130</v>
      </c>
    </row>
    <row r="105" spans="1:13" x14ac:dyDescent="0.2">
      <c r="A105">
        <v>14</v>
      </c>
      <c r="B105" t="s">
        <v>155</v>
      </c>
      <c r="C105">
        <v>2021</v>
      </c>
      <c r="D105" t="s">
        <v>240</v>
      </c>
      <c r="E105" t="s">
        <v>3</v>
      </c>
      <c r="F105" t="s">
        <v>263</v>
      </c>
      <c r="G105" t="s">
        <v>43</v>
      </c>
      <c r="H105" t="s">
        <v>239</v>
      </c>
      <c r="I105">
        <v>25</v>
      </c>
      <c r="J105" t="str">
        <f>IF(SportClimbing[[#This Row],[Height (m)]]&lt;15, "10-14", IF(SportClimbing[[#This Row],[Height (m)]]&lt;20, "15-19", IF(SportClimbing[[#This Row],[Height (m)]]&lt;25, "20-24", IF(SportClimbing[[#This Row],[Height (m)]]&lt;30, "25-29", IF(SportClimbing[[#This Row],[Height (m)]]&lt;35, "30-34", "35+")))))</f>
        <v>25-29</v>
      </c>
      <c r="K105" t="s">
        <v>232</v>
      </c>
      <c r="L105">
        <v>4</v>
      </c>
    </row>
    <row r="106" spans="1:13" x14ac:dyDescent="0.2">
      <c r="A106">
        <v>19</v>
      </c>
      <c r="B106" t="s">
        <v>155</v>
      </c>
      <c r="C106">
        <v>2021</v>
      </c>
      <c r="D106" t="s">
        <v>241</v>
      </c>
      <c r="E106" t="s">
        <v>3</v>
      </c>
      <c r="F106" t="s">
        <v>263</v>
      </c>
      <c r="G106" t="s">
        <v>100</v>
      </c>
      <c r="H106" t="s">
        <v>244</v>
      </c>
      <c r="I106">
        <v>20</v>
      </c>
      <c r="J106" t="str">
        <f>IF(SportClimbing[[#This Row],[Height (m)]]&lt;15, "10-14", IF(SportClimbing[[#This Row],[Height (m)]]&lt;20, "15-19", IF(SportClimbing[[#This Row],[Height (m)]]&lt;25, "20-24", IF(SportClimbing[[#This Row],[Height (m)]]&lt;30, "25-29", IF(SportClimbing[[#This Row],[Height (m)]]&lt;35, "30-34", "35+")))))</f>
        <v>20-24</v>
      </c>
      <c r="K106" t="s">
        <v>232</v>
      </c>
      <c r="L106" t="s">
        <v>11</v>
      </c>
    </row>
    <row r="107" spans="1:13" x14ac:dyDescent="0.2">
      <c r="A107">
        <v>20</v>
      </c>
      <c r="B107" t="s">
        <v>155</v>
      </c>
      <c r="C107">
        <v>2021</v>
      </c>
      <c r="D107" t="s">
        <v>242</v>
      </c>
      <c r="E107" t="s">
        <v>29</v>
      </c>
      <c r="F107" t="s">
        <v>263</v>
      </c>
      <c r="G107" t="s">
        <v>100</v>
      </c>
      <c r="H107" t="s">
        <v>243</v>
      </c>
      <c r="I107">
        <v>20</v>
      </c>
      <c r="J107" t="str">
        <f>IF(SportClimbing[[#This Row],[Height (m)]]&lt;15, "10-14", IF(SportClimbing[[#This Row],[Height (m)]]&lt;20, "15-19", IF(SportClimbing[[#This Row],[Height (m)]]&lt;25, "20-24", IF(SportClimbing[[#This Row],[Height (m)]]&lt;30, "25-29", IF(SportClimbing[[#This Row],[Height (m)]]&lt;35, "30-34", "35+")))))</f>
        <v>20-24</v>
      </c>
      <c r="K107" t="s">
        <v>132</v>
      </c>
      <c r="L107">
        <v>5</v>
      </c>
    </row>
    <row r="108" spans="1:13" x14ac:dyDescent="0.2">
      <c r="A108">
        <v>27</v>
      </c>
      <c r="B108" t="s">
        <v>155</v>
      </c>
      <c r="C108">
        <v>2021</v>
      </c>
      <c r="D108" t="s">
        <v>246</v>
      </c>
      <c r="E108" t="s">
        <v>29</v>
      </c>
      <c r="F108" t="s">
        <v>263</v>
      </c>
      <c r="G108" t="s">
        <v>100</v>
      </c>
      <c r="H108" t="s">
        <v>243</v>
      </c>
      <c r="I108">
        <v>16</v>
      </c>
      <c r="J108" t="str">
        <f>IF(SportClimbing[[#This Row],[Height (m)]]&lt;15, "10-14", IF(SportClimbing[[#This Row],[Height (m)]]&lt;20, "15-19", IF(SportClimbing[[#This Row],[Height (m)]]&lt;25, "20-24", IF(SportClimbing[[#This Row],[Height (m)]]&lt;30, "25-29", IF(SportClimbing[[#This Row],[Height (m)]]&lt;35, "30-34", "35+")))))</f>
        <v>15-19</v>
      </c>
      <c r="K108" t="s">
        <v>132</v>
      </c>
      <c r="L108">
        <v>6</v>
      </c>
    </row>
    <row r="109" spans="1:13" x14ac:dyDescent="0.2">
      <c r="A109">
        <v>29</v>
      </c>
      <c r="B109" t="s">
        <v>155</v>
      </c>
      <c r="C109">
        <v>2021</v>
      </c>
      <c r="D109" t="s">
        <v>247</v>
      </c>
      <c r="E109" t="s">
        <v>3</v>
      </c>
      <c r="F109" t="s">
        <v>263</v>
      </c>
      <c r="G109" t="s">
        <v>43</v>
      </c>
      <c r="H109" t="s">
        <v>91</v>
      </c>
      <c r="I109">
        <v>20</v>
      </c>
      <c r="J109" t="str">
        <f>IF(SportClimbing[[#This Row],[Height (m)]]&lt;15, "10-14", IF(SportClimbing[[#This Row],[Height (m)]]&lt;20, "15-19", IF(SportClimbing[[#This Row],[Height (m)]]&lt;25, "20-24", IF(SportClimbing[[#This Row],[Height (m)]]&lt;30, "25-29", IF(SportClimbing[[#This Row],[Height (m)]]&lt;35, "30-34", "35+")))))</f>
        <v>20-24</v>
      </c>
      <c r="K109" t="s">
        <v>104</v>
      </c>
      <c r="L109" t="s">
        <v>130</v>
      </c>
    </row>
    <row r="110" spans="1:13" x14ac:dyDescent="0.2">
      <c r="A110">
        <v>30</v>
      </c>
      <c r="B110" t="s">
        <v>155</v>
      </c>
      <c r="C110">
        <v>2021</v>
      </c>
      <c r="D110" t="s">
        <v>248</v>
      </c>
      <c r="E110" t="s">
        <v>21</v>
      </c>
      <c r="F110" t="s">
        <v>263</v>
      </c>
      <c r="G110" t="s">
        <v>43</v>
      </c>
      <c r="H110" t="s">
        <v>44</v>
      </c>
      <c r="I110">
        <v>25</v>
      </c>
      <c r="J110" t="str">
        <f>IF(SportClimbing[[#This Row],[Height (m)]]&lt;15, "10-14", IF(SportClimbing[[#This Row],[Height (m)]]&lt;20, "15-19", IF(SportClimbing[[#This Row],[Height (m)]]&lt;25, "20-24", IF(SportClimbing[[#This Row],[Height (m)]]&lt;30, "25-29", IF(SportClimbing[[#This Row],[Height (m)]]&lt;35, "30-34", "35+")))))</f>
        <v>25-29</v>
      </c>
      <c r="K110" t="s">
        <v>104</v>
      </c>
      <c r="L110">
        <v>2</v>
      </c>
    </row>
    <row r="111" spans="1:13" x14ac:dyDescent="0.2">
      <c r="A111">
        <v>2</v>
      </c>
      <c r="B111" t="s">
        <v>375</v>
      </c>
      <c r="C111">
        <v>2021</v>
      </c>
      <c r="D111" t="s">
        <v>249</v>
      </c>
      <c r="E111" t="s">
        <v>21</v>
      </c>
      <c r="F111" t="s">
        <v>263</v>
      </c>
      <c r="G111" t="s">
        <v>100</v>
      </c>
      <c r="H111" t="s">
        <v>251</v>
      </c>
      <c r="I111">
        <v>18</v>
      </c>
      <c r="J111" t="str">
        <f>IF(SportClimbing[[#This Row],[Height (m)]]&lt;15, "10-14", IF(SportClimbing[[#This Row],[Height (m)]]&lt;20, "15-19", IF(SportClimbing[[#This Row],[Height (m)]]&lt;25, "20-24", IF(SportClimbing[[#This Row],[Height (m)]]&lt;30, "25-29", IF(SportClimbing[[#This Row],[Height (m)]]&lt;35, "30-34", "35+")))))</f>
        <v>15-19</v>
      </c>
      <c r="K111" t="s">
        <v>132</v>
      </c>
      <c r="L111" t="s">
        <v>130</v>
      </c>
    </row>
    <row r="112" spans="1:13" x14ac:dyDescent="0.2">
      <c r="A112">
        <v>2</v>
      </c>
      <c r="B112" t="s">
        <v>375</v>
      </c>
      <c r="C112">
        <v>2021</v>
      </c>
      <c r="D112" t="s">
        <v>250</v>
      </c>
      <c r="E112" t="s">
        <v>3</v>
      </c>
      <c r="F112" t="s">
        <v>263</v>
      </c>
      <c r="G112" t="s">
        <v>100</v>
      </c>
      <c r="H112" t="s">
        <v>251</v>
      </c>
      <c r="I112">
        <v>18</v>
      </c>
      <c r="J112" t="str">
        <f>IF(SportClimbing[[#This Row],[Height (m)]]&lt;15, "10-14", IF(SportClimbing[[#This Row],[Height (m)]]&lt;20, "15-19", IF(SportClimbing[[#This Row],[Height (m)]]&lt;25, "20-24", IF(SportClimbing[[#This Row],[Height (m)]]&lt;30, "25-29", IF(SportClimbing[[#This Row],[Height (m)]]&lt;35, "30-34", "35+")))))</f>
        <v>15-19</v>
      </c>
      <c r="K112" t="s">
        <v>132</v>
      </c>
      <c r="L112">
        <v>2</v>
      </c>
    </row>
    <row r="113" spans="1:12" x14ac:dyDescent="0.2">
      <c r="A113">
        <v>13</v>
      </c>
      <c r="B113" t="s">
        <v>375</v>
      </c>
      <c r="C113">
        <v>2021</v>
      </c>
      <c r="D113" t="s">
        <v>252</v>
      </c>
      <c r="E113" t="s">
        <v>69</v>
      </c>
      <c r="F113" t="s">
        <v>263</v>
      </c>
      <c r="G113" t="s">
        <v>100</v>
      </c>
      <c r="H113" t="s">
        <v>251</v>
      </c>
      <c r="I113">
        <v>22</v>
      </c>
      <c r="J113" t="str">
        <f>IF(SportClimbing[[#This Row],[Height (m)]]&lt;15, "10-14", IF(SportClimbing[[#This Row],[Height (m)]]&lt;20, "15-19", IF(SportClimbing[[#This Row],[Height (m)]]&lt;25, "20-24", IF(SportClimbing[[#This Row],[Height (m)]]&lt;30, "25-29", IF(SportClimbing[[#This Row],[Height (m)]]&lt;35, "30-34", "35+")))))</f>
        <v>20-24</v>
      </c>
      <c r="K113" t="s">
        <v>253</v>
      </c>
      <c r="L113">
        <v>7</v>
      </c>
    </row>
    <row r="114" spans="1:12" x14ac:dyDescent="0.2">
      <c r="A114">
        <v>20</v>
      </c>
      <c r="B114" t="s">
        <v>375</v>
      </c>
      <c r="C114">
        <v>2021</v>
      </c>
      <c r="D114" t="s">
        <v>254</v>
      </c>
      <c r="E114" t="s">
        <v>21</v>
      </c>
      <c r="F114" t="s">
        <v>263</v>
      </c>
      <c r="G114" t="s">
        <v>100</v>
      </c>
      <c r="H114" t="s">
        <v>251</v>
      </c>
      <c r="I114">
        <v>18</v>
      </c>
      <c r="J114" t="str">
        <f>IF(SportClimbing[[#This Row],[Height (m)]]&lt;15, "10-14", IF(SportClimbing[[#This Row],[Height (m)]]&lt;20, "15-19", IF(SportClimbing[[#This Row],[Height (m)]]&lt;25, "20-24", IF(SportClimbing[[#This Row],[Height (m)]]&lt;30, "25-29", IF(SportClimbing[[#This Row],[Height (m)]]&lt;35, "30-34", "35+")))))</f>
        <v>15-19</v>
      </c>
      <c r="K114" t="s">
        <v>231</v>
      </c>
      <c r="L114" t="s">
        <v>130</v>
      </c>
    </row>
    <row r="115" spans="1:12" x14ac:dyDescent="0.2">
      <c r="A115">
        <v>20</v>
      </c>
      <c r="B115" t="s">
        <v>375</v>
      </c>
      <c r="C115">
        <v>2021</v>
      </c>
      <c r="D115" t="s">
        <v>255</v>
      </c>
      <c r="E115" t="s">
        <v>29</v>
      </c>
      <c r="F115" t="s">
        <v>263</v>
      </c>
      <c r="G115" t="s">
        <v>100</v>
      </c>
      <c r="H115" t="s">
        <v>251</v>
      </c>
      <c r="I115">
        <v>18</v>
      </c>
      <c r="J115" t="str">
        <f>IF(SportClimbing[[#This Row],[Height (m)]]&lt;15, "10-14", IF(SportClimbing[[#This Row],[Height (m)]]&lt;20, "15-19", IF(SportClimbing[[#This Row],[Height (m)]]&lt;25, "20-24", IF(SportClimbing[[#This Row],[Height (m)]]&lt;30, "25-29", IF(SportClimbing[[#This Row],[Height (m)]]&lt;35, "30-34", "35+")))))</f>
        <v>15-19</v>
      </c>
      <c r="K115" t="s">
        <v>231</v>
      </c>
      <c r="L115" t="s">
        <v>130</v>
      </c>
    </row>
    <row r="116" spans="1:12" x14ac:dyDescent="0.2">
      <c r="A116">
        <v>24</v>
      </c>
      <c r="B116" t="s">
        <v>375</v>
      </c>
      <c r="C116">
        <v>2021</v>
      </c>
      <c r="D116" t="s">
        <v>256</v>
      </c>
      <c r="E116" t="s">
        <v>21</v>
      </c>
      <c r="F116" t="s">
        <v>263</v>
      </c>
      <c r="G116" t="s">
        <v>100</v>
      </c>
      <c r="H116" t="s">
        <v>251</v>
      </c>
      <c r="I116">
        <v>18</v>
      </c>
      <c r="J116" t="str">
        <f>IF(SportClimbing[[#This Row],[Height (m)]]&lt;15, "10-14", IF(SportClimbing[[#This Row],[Height (m)]]&lt;20, "15-19", IF(SportClimbing[[#This Row],[Height (m)]]&lt;25, "20-24", IF(SportClimbing[[#This Row],[Height (m)]]&lt;30, "25-29", IF(SportClimbing[[#This Row],[Height (m)]]&lt;35, "30-34", "35+")))))</f>
        <v>15-19</v>
      </c>
      <c r="K116" t="s">
        <v>132</v>
      </c>
      <c r="L116">
        <v>2</v>
      </c>
    </row>
    <row r="117" spans="1:12" x14ac:dyDescent="0.2">
      <c r="A117">
        <v>14</v>
      </c>
      <c r="B117" t="s">
        <v>160</v>
      </c>
      <c r="C117">
        <v>2021</v>
      </c>
      <c r="D117" t="s">
        <v>258</v>
      </c>
      <c r="E117" t="s">
        <v>3</v>
      </c>
      <c r="F117" t="s">
        <v>263</v>
      </c>
      <c r="G117" t="s">
        <v>43</v>
      </c>
      <c r="H117" t="s">
        <v>227</v>
      </c>
      <c r="I117">
        <v>25</v>
      </c>
      <c r="J117" t="str">
        <f>IF(SportClimbing[[#This Row],[Height (m)]]&lt;15, "10-14", IF(SportClimbing[[#This Row],[Height (m)]]&lt;20, "15-19", IF(SportClimbing[[#This Row],[Height (m)]]&lt;25, "20-24", IF(SportClimbing[[#This Row],[Height (m)]]&lt;30, "25-29", IF(SportClimbing[[#This Row],[Height (m)]]&lt;35, "30-34", "35+")))))</f>
        <v>25-29</v>
      </c>
      <c r="K117" t="s">
        <v>231</v>
      </c>
      <c r="L117" t="s">
        <v>130</v>
      </c>
    </row>
    <row r="118" spans="1:12" x14ac:dyDescent="0.2">
      <c r="A118" s="3">
        <v>30</v>
      </c>
      <c r="B118" s="3" t="s">
        <v>151</v>
      </c>
      <c r="C118" s="3">
        <v>2022</v>
      </c>
      <c r="D118" s="3" t="s">
        <v>260</v>
      </c>
      <c r="E118" s="3" t="s">
        <v>163</v>
      </c>
      <c r="F118" s="3" t="s">
        <v>263</v>
      </c>
      <c r="G118" s="3" t="s">
        <v>22</v>
      </c>
      <c r="H118" s="3" t="s">
        <v>23</v>
      </c>
      <c r="I118" s="3">
        <v>20</v>
      </c>
      <c r="J118" s="3" t="str">
        <f>IF(SportClimbing[[#This Row],[Height (m)]]&lt;15, "10-14", IF(SportClimbing[[#This Row],[Height (m)]]&lt;20, "15-19", IF(SportClimbing[[#This Row],[Height (m)]]&lt;25, "20-24", IF(SportClimbing[[#This Row],[Height (m)]]&lt;30, "25-29", IF(SportClimbing[[#This Row],[Height (m)]]&lt;35, "30-34", "35+")))))</f>
        <v>20-24</v>
      </c>
      <c r="K118" s="3" t="s">
        <v>132</v>
      </c>
      <c r="L118" s="3">
        <v>50</v>
      </c>
    </row>
    <row r="119" spans="1:12" x14ac:dyDescent="0.2">
      <c r="A119">
        <v>10</v>
      </c>
      <c r="B119" t="s">
        <v>152</v>
      </c>
      <c r="C119">
        <v>2022</v>
      </c>
      <c r="D119" t="s">
        <v>267</v>
      </c>
      <c r="E119" t="s">
        <v>3</v>
      </c>
      <c r="F119" t="s">
        <v>263</v>
      </c>
      <c r="G119" t="s">
        <v>266</v>
      </c>
      <c r="H119" t="s">
        <v>272</v>
      </c>
      <c r="I119">
        <v>15</v>
      </c>
      <c r="J119" t="str">
        <f>IF(SportClimbing[[#This Row],[Height (m)]]&lt;15, "10-14", IF(SportClimbing[[#This Row],[Height (m)]]&lt;20, "15-19", IF(SportClimbing[[#This Row],[Height (m)]]&lt;25, "20-24", IF(SportClimbing[[#This Row],[Height (m)]]&lt;30, "25-29", IF(SportClimbing[[#This Row],[Height (m)]]&lt;35, "30-34", "35+")))))</f>
        <v>15-19</v>
      </c>
      <c r="K119" t="s">
        <v>120</v>
      </c>
      <c r="L119" t="s">
        <v>130</v>
      </c>
    </row>
    <row r="120" spans="1:12" x14ac:dyDescent="0.2">
      <c r="A120">
        <v>11</v>
      </c>
      <c r="B120" t="s">
        <v>152</v>
      </c>
      <c r="C120">
        <v>2022</v>
      </c>
      <c r="D120" t="s">
        <v>269</v>
      </c>
      <c r="E120" t="s">
        <v>3</v>
      </c>
      <c r="F120" t="s">
        <v>263</v>
      </c>
      <c r="G120" t="s">
        <v>126</v>
      </c>
      <c r="H120" t="s">
        <v>265</v>
      </c>
      <c r="I120">
        <v>35</v>
      </c>
      <c r="J120" t="str">
        <f>IF(SportClimbing[[#This Row],[Height (m)]]&lt;15, "10-14", IF(SportClimbing[[#This Row],[Height (m)]]&lt;20, "15-19", IF(SportClimbing[[#This Row],[Height (m)]]&lt;25, "20-24", IF(SportClimbing[[#This Row],[Height (m)]]&lt;30, "25-29", IF(SportClimbing[[#This Row],[Height (m)]]&lt;35, "30-34", "35+")))))</f>
        <v>35+</v>
      </c>
      <c r="K120" t="s">
        <v>120</v>
      </c>
      <c r="L120" t="s">
        <v>11</v>
      </c>
    </row>
    <row r="121" spans="1:12" x14ac:dyDescent="0.2">
      <c r="A121">
        <v>12</v>
      </c>
      <c r="B121" t="s">
        <v>152</v>
      </c>
      <c r="C121">
        <v>2022</v>
      </c>
      <c r="D121" t="s">
        <v>268</v>
      </c>
      <c r="E121" t="s">
        <v>3</v>
      </c>
      <c r="F121" t="s">
        <v>263</v>
      </c>
      <c r="G121" t="s">
        <v>126</v>
      </c>
      <c r="H121" t="s">
        <v>271</v>
      </c>
      <c r="I121">
        <v>20</v>
      </c>
      <c r="J121" t="str">
        <f>IF(SportClimbing[[#This Row],[Height (m)]]&lt;15, "10-14", IF(SportClimbing[[#This Row],[Height (m)]]&lt;20, "15-19", IF(SportClimbing[[#This Row],[Height (m)]]&lt;25, "20-24", IF(SportClimbing[[#This Row],[Height (m)]]&lt;30, "25-29", IF(SportClimbing[[#This Row],[Height (m)]]&lt;35, "30-34", "35+")))))</f>
        <v>20-24</v>
      </c>
      <c r="K121" t="s">
        <v>120</v>
      </c>
      <c r="L121" t="s">
        <v>130</v>
      </c>
    </row>
    <row r="122" spans="1:12" x14ac:dyDescent="0.2">
      <c r="A122">
        <v>13</v>
      </c>
      <c r="B122" t="s">
        <v>152</v>
      </c>
      <c r="C122">
        <v>2022</v>
      </c>
      <c r="D122" t="s">
        <v>270</v>
      </c>
      <c r="E122" t="s">
        <v>21</v>
      </c>
      <c r="F122" t="s">
        <v>263</v>
      </c>
      <c r="G122" t="s">
        <v>126</v>
      </c>
      <c r="H122" t="s">
        <v>128</v>
      </c>
      <c r="I122">
        <v>35</v>
      </c>
      <c r="J122" t="str">
        <f>IF(SportClimbing[[#This Row],[Height (m)]]&lt;15, "10-14", IF(SportClimbing[[#This Row],[Height (m)]]&lt;20, "15-19", IF(SportClimbing[[#This Row],[Height (m)]]&lt;25, "20-24", IF(SportClimbing[[#This Row],[Height (m)]]&lt;30, "25-29", IF(SportClimbing[[#This Row],[Height (m)]]&lt;35, "30-34", "35+")))))</f>
        <v>35+</v>
      </c>
      <c r="K122" t="s">
        <v>264</v>
      </c>
      <c r="L122" t="s">
        <v>130</v>
      </c>
    </row>
    <row r="123" spans="1:12" x14ac:dyDescent="0.2">
      <c r="A123">
        <v>17</v>
      </c>
      <c r="B123" t="s">
        <v>376</v>
      </c>
      <c r="C123">
        <v>2022</v>
      </c>
      <c r="D123" t="s">
        <v>273</v>
      </c>
      <c r="E123" t="s">
        <v>3</v>
      </c>
      <c r="F123" t="s">
        <v>274</v>
      </c>
      <c r="G123" t="s">
        <v>275</v>
      </c>
      <c r="H123" t="s">
        <v>276</v>
      </c>
      <c r="I123">
        <v>20</v>
      </c>
      <c r="J123" t="str">
        <f>IF(SportClimbing[[#This Row],[Height (m)]]&lt;15, "10-14", IF(SportClimbing[[#This Row],[Height (m)]]&lt;20, "15-19", IF(SportClimbing[[#This Row],[Height (m)]]&lt;25, "20-24", IF(SportClimbing[[#This Row],[Height (m)]]&lt;30, "25-29", IF(SportClimbing[[#This Row],[Height (m)]]&lt;35, "30-34", "35+")))))</f>
        <v>20-24</v>
      </c>
      <c r="K123" t="s">
        <v>277</v>
      </c>
      <c r="L123" t="s">
        <v>130</v>
      </c>
    </row>
    <row r="124" spans="1:12" x14ac:dyDescent="0.2">
      <c r="A124">
        <v>25</v>
      </c>
      <c r="B124" t="s">
        <v>155</v>
      </c>
      <c r="C124">
        <v>2022</v>
      </c>
      <c r="D124" t="s">
        <v>278</v>
      </c>
      <c r="E124" t="s">
        <v>3</v>
      </c>
      <c r="F124" t="s">
        <v>274</v>
      </c>
      <c r="G124" t="s">
        <v>279</v>
      </c>
      <c r="H124" t="s">
        <v>280</v>
      </c>
      <c r="I124">
        <v>23</v>
      </c>
      <c r="J124" t="str">
        <f>IF(SportClimbing[[#This Row],[Height (m)]]&lt;15, "10-14", IF(SportClimbing[[#This Row],[Height (m)]]&lt;20, "15-19", IF(SportClimbing[[#This Row],[Height (m)]]&lt;25, "20-24", IF(SportClimbing[[#This Row],[Height (m)]]&lt;30, "25-29", IF(SportClimbing[[#This Row],[Height (m)]]&lt;35, "30-34", "35+")))))</f>
        <v>20-24</v>
      </c>
      <c r="K124" t="s">
        <v>281</v>
      </c>
      <c r="L124">
        <v>3</v>
      </c>
    </row>
    <row r="125" spans="1:12" x14ac:dyDescent="0.2">
      <c r="A125">
        <v>10</v>
      </c>
      <c r="B125" t="s">
        <v>375</v>
      </c>
      <c r="C125">
        <v>2022</v>
      </c>
      <c r="D125" t="s">
        <v>286</v>
      </c>
      <c r="E125" t="s">
        <v>3</v>
      </c>
      <c r="F125" t="s">
        <v>263</v>
      </c>
      <c r="G125" t="s">
        <v>105</v>
      </c>
      <c r="H125" t="s">
        <v>285</v>
      </c>
      <c r="I125">
        <v>23</v>
      </c>
      <c r="J125" t="str">
        <f>IF(SportClimbing[[#This Row],[Height (m)]]&lt;15, "10-14", IF(SportClimbing[[#This Row],[Height (m)]]&lt;20, "15-19", IF(SportClimbing[[#This Row],[Height (m)]]&lt;25, "20-24", IF(SportClimbing[[#This Row],[Height (m)]]&lt;30, "25-29", IF(SportClimbing[[#This Row],[Height (m)]]&lt;35, "30-34", "35+")))))</f>
        <v>20-24</v>
      </c>
      <c r="K125" t="s">
        <v>164</v>
      </c>
      <c r="L125" t="s">
        <v>130</v>
      </c>
    </row>
    <row r="126" spans="1:12" x14ac:dyDescent="0.2">
      <c r="A126">
        <v>17</v>
      </c>
      <c r="B126" t="s">
        <v>375</v>
      </c>
      <c r="C126">
        <v>2022</v>
      </c>
      <c r="E126" t="s">
        <v>21</v>
      </c>
      <c r="F126" t="s">
        <v>263</v>
      </c>
      <c r="G126" t="s">
        <v>282</v>
      </c>
      <c r="H126" t="s">
        <v>283</v>
      </c>
      <c r="I126">
        <v>15</v>
      </c>
      <c r="J126" t="str">
        <f>IF(SportClimbing[[#This Row],[Height (m)]]&lt;15, "10-14", IF(SportClimbing[[#This Row],[Height (m)]]&lt;20, "15-19", IF(SportClimbing[[#This Row],[Height (m)]]&lt;25, "20-24", IF(SportClimbing[[#This Row],[Height (m)]]&lt;30, "25-29", IF(SportClimbing[[#This Row],[Height (m)]]&lt;35, "30-34", "35+")))))</f>
        <v>15-19</v>
      </c>
      <c r="K126" t="s">
        <v>164</v>
      </c>
      <c r="L126">
        <v>3</v>
      </c>
    </row>
    <row r="127" spans="1:12" x14ac:dyDescent="0.2">
      <c r="A127">
        <v>16</v>
      </c>
      <c r="B127" t="s">
        <v>374</v>
      </c>
      <c r="C127">
        <v>2022</v>
      </c>
      <c r="D127" t="s">
        <v>296</v>
      </c>
      <c r="E127" t="s">
        <v>3</v>
      </c>
      <c r="F127" t="s">
        <v>262</v>
      </c>
      <c r="G127" t="s">
        <v>287</v>
      </c>
      <c r="H127" t="s">
        <v>288</v>
      </c>
      <c r="I127">
        <v>16</v>
      </c>
      <c r="J127" t="str">
        <f>IF(SportClimbing[[#This Row],[Height (m)]]&lt;15, "10-14", IF(SportClimbing[[#This Row],[Height (m)]]&lt;20, "15-19", IF(SportClimbing[[#This Row],[Height (m)]]&lt;25, "20-24", IF(SportClimbing[[#This Row],[Height (m)]]&lt;30, "25-29", IF(SportClimbing[[#This Row],[Height (m)]]&lt;35, "30-34", "35+")))))</f>
        <v>15-19</v>
      </c>
      <c r="K127" t="s">
        <v>289</v>
      </c>
      <c r="L127">
        <v>2</v>
      </c>
    </row>
    <row r="128" spans="1:12" x14ac:dyDescent="0.2">
      <c r="A128">
        <v>23</v>
      </c>
      <c r="B128" t="s">
        <v>374</v>
      </c>
      <c r="C128">
        <v>2022</v>
      </c>
      <c r="D128" t="s">
        <v>292</v>
      </c>
      <c r="E128" t="s">
        <v>21</v>
      </c>
      <c r="F128" t="s">
        <v>262</v>
      </c>
      <c r="G128" t="s">
        <v>290</v>
      </c>
      <c r="H128" t="s">
        <v>294</v>
      </c>
      <c r="I128">
        <v>16</v>
      </c>
      <c r="J128" t="str">
        <f>IF(SportClimbing[[#This Row],[Height (m)]]&lt;15, "10-14", IF(SportClimbing[[#This Row],[Height (m)]]&lt;20, "15-19", IF(SportClimbing[[#This Row],[Height (m)]]&lt;25, "20-24", IF(SportClimbing[[#This Row],[Height (m)]]&lt;30, "25-29", IF(SportClimbing[[#This Row],[Height (m)]]&lt;35, "30-34", "35+")))))</f>
        <v>15-19</v>
      </c>
      <c r="K128" t="s">
        <v>291</v>
      </c>
      <c r="L128">
        <v>2</v>
      </c>
    </row>
    <row r="129" spans="1:12" x14ac:dyDescent="0.2">
      <c r="A129">
        <v>24</v>
      </c>
      <c r="B129" t="s">
        <v>374</v>
      </c>
      <c r="C129">
        <v>2022</v>
      </c>
      <c r="D129" t="s">
        <v>295</v>
      </c>
      <c r="E129" t="s">
        <v>21</v>
      </c>
      <c r="F129" t="s">
        <v>262</v>
      </c>
      <c r="G129" t="s">
        <v>290</v>
      </c>
      <c r="H129" t="s">
        <v>293</v>
      </c>
      <c r="I129">
        <v>16</v>
      </c>
      <c r="J129" t="str">
        <f>IF(SportClimbing[[#This Row],[Height (m)]]&lt;15, "10-14", IF(SportClimbing[[#This Row],[Height (m)]]&lt;20, "15-19", IF(SportClimbing[[#This Row],[Height (m)]]&lt;25, "20-24", IF(SportClimbing[[#This Row],[Height (m)]]&lt;30, "25-29", IF(SportClimbing[[#This Row],[Height (m)]]&lt;35, "30-34", "35+")))))</f>
        <v>15-19</v>
      </c>
      <c r="K129" t="s">
        <v>291</v>
      </c>
      <c r="L129">
        <v>2</v>
      </c>
    </row>
    <row r="130" spans="1:12" x14ac:dyDescent="0.2">
      <c r="A130">
        <v>4</v>
      </c>
      <c r="B130" t="s">
        <v>159</v>
      </c>
      <c r="C130">
        <v>2022</v>
      </c>
      <c r="D130" t="s">
        <v>297</v>
      </c>
      <c r="E130" t="s">
        <v>21</v>
      </c>
      <c r="F130" t="s">
        <v>262</v>
      </c>
      <c r="G130" t="s">
        <v>1</v>
      </c>
      <c r="H130" t="s">
        <v>298</v>
      </c>
      <c r="I130">
        <v>27</v>
      </c>
      <c r="J130" t="str">
        <f>IF(SportClimbing[[#This Row],[Height (m)]]&lt;15, "10-14", IF(SportClimbing[[#This Row],[Height (m)]]&lt;20, "15-19", IF(SportClimbing[[#This Row],[Height (m)]]&lt;25, "20-24", IF(SportClimbing[[#This Row],[Height (m)]]&lt;30, "25-29", IF(SportClimbing[[#This Row],[Height (m)]]&lt;35, "30-34", "35+")))))</f>
        <v>25-29</v>
      </c>
      <c r="K130" t="s">
        <v>13</v>
      </c>
      <c r="L130">
        <v>5</v>
      </c>
    </row>
    <row r="131" spans="1:12" x14ac:dyDescent="0.2">
      <c r="A131">
        <v>8</v>
      </c>
      <c r="B131" t="s">
        <v>162</v>
      </c>
      <c r="C131">
        <v>2022</v>
      </c>
      <c r="D131" t="s">
        <v>304</v>
      </c>
      <c r="E131" t="s">
        <v>3</v>
      </c>
      <c r="F131" t="s">
        <v>299</v>
      </c>
      <c r="G131" t="s">
        <v>301</v>
      </c>
      <c r="H131" t="s">
        <v>302</v>
      </c>
      <c r="I131">
        <v>20</v>
      </c>
      <c r="J131" t="str">
        <f>IF(SportClimbing[[#This Row],[Height (m)]]&lt;15, "10-14", IF(SportClimbing[[#This Row],[Height (m)]]&lt;20, "15-19", IF(SportClimbing[[#This Row],[Height (m)]]&lt;25, "20-24", IF(SportClimbing[[#This Row],[Height (m)]]&lt;30, "25-29", IF(SportClimbing[[#This Row],[Height (m)]]&lt;35, "30-34", "35+")))))</f>
        <v>20-24</v>
      </c>
      <c r="K131" t="s">
        <v>305</v>
      </c>
      <c r="L131" t="s">
        <v>130</v>
      </c>
    </row>
    <row r="132" spans="1:12" x14ac:dyDescent="0.2">
      <c r="A132">
        <v>8</v>
      </c>
      <c r="B132" t="s">
        <v>162</v>
      </c>
      <c r="C132">
        <v>2022</v>
      </c>
      <c r="D132" t="s">
        <v>300</v>
      </c>
      <c r="E132" t="s">
        <v>3</v>
      </c>
      <c r="F132" t="s">
        <v>299</v>
      </c>
      <c r="G132" t="s">
        <v>301</v>
      </c>
      <c r="H132" t="s">
        <v>303</v>
      </c>
      <c r="I132">
        <v>18</v>
      </c>
      <c r="J132" t="str">
        <f>IF(SportClimbing[[#This Row],[Height (m)]]&lt;15, "10-14", IF(SportClimbing[[#This Row],[Height (m)]]&lt;20, "15-19", IF(SportClimbing[[#This Row],[Height (m)]]&lt;25, "20-24", IF(SportClimbing[[#This Row],[Height (m)]]&lt;30, "25-29", IF(SportClimbing[[#This Row],[Height (m)]]&lt;35, "30-34", "35+")))))</f>
        <v>15-19</v>
      </c>
      <c r="K132" t="s">
        <v>305</v>
      </c>
      <c r="L132" t="s">
        <v>130</v>
      </c>
    </row>
    <row r="133" spans="1:12" x14ac:dyDescent="0.2">
      <c r="A133">
        <v>1</v>
      </c>
      <c r="B133" t="s">
        <v>160</v>
      </c>
      <c r="C133">
        <v>2022</v>
      </c>
      <c r="D133" t="s">
        <v>306</v>
      </c>
      <c r="E133" t="s">
        <v>21</v>
      </c>
      <c r="F133" t="s">
        <v>299</v>
      </c>
      <c r="G133" t="s">
        <v>307</v>
      </c>
      <c r="H133" t="s">
        <v>308</v>
      </c>
      <c r="I133">
        <v>15</v>
      </c>
      <c r="J133" t="str">
        <f>IF(SportClimbing[[#This Row],[Height (m)]]&lt;15, "10-14", IF(SportClimbing[[#This Row],[Height (m)]]&lt;20, "15-19", IF(SportClimbing[[#This Row],[Height (m)]]&lt;25, "20-24", IF(SportClimbing[[#This Row],[Height (m)]]&lt;30, "25-29", IF(SportClimbing[[#This Row],[Height (m)]]&lt;35, "30-34", "35+")))))</f>
        <v>15-19</v>
      </c>
      <c r="K133" t="s">
        <v>380</v>
      </c>
      <c r="L133">
        <v>3</v>
      </c>
    </row>
    <row r="134" spans="1:12" x14ac:dyDescent="0.2">
      <c r="A134">
        <v>5</v>
      </c>
      <c r="B134" t="s">
        <v>160</v>
      </c>
      <c r="C134">
        <v>2022</v>
      </c>
      <c r="D134" t="s">
        <v>309</v>
      </c>
      <c r="E134" t="s">
        <v>3</v>
      </c>
      <c r="F134" t="s">
        <v>299</v>
      </c>
      <c r="G134" t="s">
        <v>307</v>
      </c>
      <c r="H134" t="s">
        <v>308</v>
      </c>
      <c r="I134">
        <v>20</v>
      </c>
      <c r="J134" t="str">
        <f>IF(SportClimbing[[#This Row],[Height (m)]]&lt;15, "10-14", IF(SportClimbing[[#This Row],[Height (m)]]&lt;20, "15-19", IF(SportClimbing[[#This Row],[Height (m)]]&lt;25, "20-24", IF(SportClimbing[[#This Row],[Height (m)]]&lt;30, "25-29", IF(SportClimbing[[#This Row],[Height (m)]]&lt;35, "30-34", "35+")))))</f>
        <v>20-24</v>
      </c>
      <c r="K134" t="s">
        <v>380</v>
      </c>
      <c r="L134" t="s">
        <v>130</v>
      </c>
    </row>
    <row r="135" spans="1:12" x14ac:dyDescent="0.2">
      <c r="A135">
        <v>12</v>
      </c>
      <c r="B135" t="s">
        <v>160</v>
      </c>
      <c r="C135">
        <v>2022</v>
      </c>
      <c r="D135" t="s">
        <v>310</v>
      </c>
      <c r="E135" t="s">
        <v>3</v>
      </c>
      <c r="F135" t="s">
        <v>299</v>
      </c>
      <c r="G135" t="s">
        <v>312</v>
      </c>
      <c r="H135" t="s">
        <v>311</v>
      </c>
      <c r="I135">
        <v>12</v>
      </c>
      <c r="J135" t="str">
        <f>IF(SportClimbing[[#This Row],[Height (m)]]&lt;15, "10-14", IF(SportClimbing[[#This Row],[Height (m)]]&lt;20, "15-19", IF(SportClimbing[[#This Row],[Height (m)]]&lt;25, "20-24", IF(SportClimbing[[#This Row],[Height (m)]]&lt;30, "25-29", IF(SportClimbing[[#This Row],[Height (m)]]&lt;35, "30-34", "35+")))))</f>
        <v>10-14</v>
      </c>
      <c r="K135" t="s">
        <v>380</v>
      </c>
      <c r="L135">
        <v>2</v>
      </c>
    </row>
    <row r="136" spans="1:12" x14ac:dyDescent="0.2">
      <c r="A136">
        <v>19</v>
      </c>
      <c r="B136" t="s">
        <v>160</v>
      </c>
      <c r="C136">
        <v>2022</v>
      </c>
      <c r="D136" t="s">
        <v>313</v>
      </c>
      <c r="E136" t="s">
        <v>3</v>
      </c>
      <c r="F136" t="s">
        <v>314</v>
      </c>
      <c r="G136" t="s">
        <v>351</v>
      </c>
      <c r="I136">
        <v>10</v>
      </c>
      <c r="J136" t="str">
        <f>IF(SportClimbing[[#This Row],[Height (m)]]&lt;15, "10-14", IF(SportClimbing[[#This Row],[Height (m)]]&lt;20, "15-19", IF(SportClimbing[[#This Row],[Height (m)]]&lt;25, "20-24", IF(SportClimbing[[#This Row],[Height (m)]]&lt;30, "25-29", IF(SportClimbing[[#This Row],[Height (m)]]&lt;35, "30-34", "35+")))))</f>
        <v>10-14</v>
      </c>
      <c r="K136" t="s">
        <v>380</v>
      </c>
      <c r="L136">
        <v>4</v>
      </c>
    </row>
    <row r="137" spans="1:12" x14ac:dyDescent="0.2">
      <c r="A137">
        <v>6</v>
      </c>
      <c r="B137" t="s">
        <v>152</v>
      </c>
      <c r="C137">
        <v>2023</v>
      </c>
      <c r="D137" t="s">
        <v>245</v>
      </c>
      <c r="E137" t="s">
        <v>3</v>
      </c>
      <c r="F137" t="s">
        <v>263</v>
      </c>
      <c r="G137" t="s">
        <v>43</v>
      </c>
      <c r="H137" t="s">
        <v>93</v>
      </c>
      <c r="I137">
        <v>15</v>
      </c>
      <c r="J137" t="str">
        <f>IF(SportClimbing[[#This Row],[Height (m)]]&lt;15, "10-14", IF(SportClimbing[[#This Row],[Height (m)]]&lt;20, "15-19", IF(SportClimbing[[#This Row],[Height (m)]]&lt;25, "20-24", IF(SportClimbing[[#This Row],[Height (m)]]&lt;30, "25-29", IF(SportClimbing[[#This Row],[Height (m)]]&lt;35, "30-34", "35+")))))</f>
        <v>15-19</v>
      </c>
      <c r="K137" t="s">
        <v>120</v>
      </c>
      <c r="L137">
        <v>2</v>
      </c>
    </row>
    <row r="138" spans="1:12" x14ac:dyDescent="0.2">
      <c r="A138">
        <v>9</v>
      </c>
      <c r="B138" t="s">
        <v>152</v>
      </c>
      <c r="C138">
        <v>2023</v>
      </c>
      <c r="D138" t="s">
        <v>317</v>
      </c>
      <c r="E138" t="s">
        <v>3</v>
      </c>
      <c r="F138" t="s">
        <v>263</v>
      </c>
      <c r="G138" t="s">
        <v>43</v>
      </c>
      <c r="H138" t="s">
        <v>316</v>
      </c>
      <c r="I138">
        <v>18</v>
      </c>
      <c r="J138" t="str">
        <f>IF(SportClimbing[[#This Row],[Height (m)]]&lt;15, "10-14", IF(SportClimbing[[#This Row],[Height (m)]]&lt;20, "15-19", IF(SportClimbing[[#This Row],[Height (m)]]&lt;25, "20-24", IF(SportClimbing[[#This Row],[Height (m)]]&lt;30, "25-29", IF(SportClimbing[[#This Row],[Height (m)]]&lt;35, "30-34", "35+")))))</f>
        <v>15-19</v>
      </c>
      <c r="K138" t="s">
        <v>380</v>
      </c>
      <c r="L138" t="s">
        <v>11</v>
      </c>
    </row>
    <row r="139" spans="1:12" x14ac:dyDescent="0.2">
      <c r="A139">
        <v>9</v>
      </c>
      <c r="B139" t="s">
        <v>152</v>
      </c>
      <c r="C139">
        <v>2023</v>
      </c>
      <c r="D139" t="s">
        <v>315</v>
      </c>
      <c r="E139" t="s">
        <v>3</v>
      </c>
      <c r="F139" t="s">
        <v>263</v>
      </c>
      <c r="G139" t="s">
        <v>43</v>
      </c>
      <c r="H139" t="s">
        <v>316</v>
      </c>
      <c r="I139">
        <v>25</v>
      </c>
      <c r="J139" t="str">
        <f>IF(SportClimbing[[#This Row],[Height (m)]]&lt;15, "10-14", IF(SportClimbing[[#This Row],[Height (m)]]&lt;20, "15-19", IF(SportClimbing[[#This Row],[Height (m)]]&lt;25, "20-24", IF(SportClimbing[[#This Row],[Height (m)]]&lt;30, "25-29", IF(SportClimbing[[#This Row],[Height (m)]]&lt;35, "30-34", "35+")))))</f>
        <v>25-29</v>
      </c>
      <c r="K139" t="s">
        <v>305</v>
      </c>
      <c r="L139">
        <v>2</v>
      </c>
    </row>
    <row r="140" spans="1:12" x14ac:dyDescent="0.2">
      <c r="A140">
        <v>10</v>
      </c>
      <c r="B140" t="s">
        <v>152</v>
      </c>
      <c r="C140">
        <v>2023</v>
      </c>
      <c r="D140" t="s">
        <v>318</v>
      </c>
      <c r="E140" t="s">
        <v>3</v>
      </c>
      <c r="F140" t="s">
        <v>263</v>
      </c>
      <c r="G140" t="s">
        <v>43</v>
      </c>
      <c r="H140" t="s">
        <v>207</v>
      </c>
      <c r="I140">
        <v>28</v>
      </c>
      <c r="J140" t="str">
        <f>IF(SportClimbing[[#This Row],[Height (m)]]&lt;15, "10-14", IF(SportClimbing[[#This Row],[Height (m)]]&lt;20, "15-19", IF(SportClimbing[[#This Row],[Height (m)]]&lt;25, "20-24", IF(SportClimbing[[#This Row],[Height (m)]]&lt;30, "25-29", IF(SportClimbing[[#This Row],[Height (m)]]&lt;35, "30-34", "35+")))))</f>
        <v>25-29</v>
      </c>
      <c r="K140" t="s">
        <v>305</v>
      </c>
      <c r="L140" t="s">
        <v>11</v>
      </c>
    </row>
    <row r="141" spans="1:12" x14ac:dyDescent="0.2">
      <c r="A141">
        <v>10</v>
      </c>
      <c r="B141" t="s">
        <v>152</v>
      </c>
      <c r="C141">
        <v>2023</v>
      </c>
      <c r="D141" t="s">
        <v>319</v>
      </c>
      <c r="E141" t="s">
        <v>3</v>
      </c>
      <c r="F141" t="s">
        <v>263</v>
      </c>
      <c r="G141" t="s">
        <v>43</v>
      </c>
      <c r="H141" t="s">
        <v>207</v>
      </c>
      <c r="I141">
        <v>20</v>
      </c>
      <c r="J141" t="str">
        <f>IF(SportClimbing[[#This Row],[Height (m)]]&lt;15, "10-14", IF(SportClimbing[[#This Row],[Height (m)]]&lt;20, "15-19", IF(SportClimbing[[#This Row],[Height (m)]]&lt;25, "20-24", IF(SportClimbing[[#This Row],[Height (m)]]&lt;30, "25-29", IF(SportClimbing[[#This Row],[Height (m)]]&lt;35, "30-34", "35+")))))</f>
        <v>20-24</v>
      </c>
      <c r="K141" t="s">
        <v>120</v>
      </c>
      <c r="L141">
        <v>2</v>
      </c>
    </row>
    <row r="142" spans="1:12" x14ac:dyDescent="0.2">
      <c r="A142">
        <v>11</v>
      </c>
      <c r="B142" t="s">
        <v>152</v>
      </c>
      <c r="C142">
        <v>2023</v>
      </c>
      <c r="D142" t="s">
        <v>320</v>
      </c>
      <c r="E142" t="s">
        <v>3</v>
      </c>
      <c r="F142" t="s">
        <v>263</v>
      </c>
      <c r="G142" t="s">
        <v>43</v>
      </c>
      <c r="H142" t="s">
        <v>207</v>
      </c>
      <c r="I142">
        <v>28</v>
      </c>
      <c r="J142" t="str">
        <f>IF(SportClimbing[[#This Row],[Height (m)]]&lt;15, "10-14", IF(SportClimbing[[#This Row],[Height (m)]]&lt;20, "15-19", IF(SportClimbing[[#This Row],[Height (m)]]&lt;25, "20-24", IF(SportClimbing[[#This Row],[Height (m)]]&lt;30, "25-29", IF(SportClimbing[[#This Row],[Height (m)]]&lt;35, "30-34", "35+")))))</f>
        <v>25-29</v>
      </c>
      <c r="K142" t="s">
        <v>305</v>
      </c>
      <c r="L142" t="s">
        <v>130</v>
      </c>
    </row>
    <row r="143" spans="1:12" x14ac:dyDescent="0.2">
      <c r="A143">
        <v>19</v>
      </c>
      <c r="B143" t="s">
        <v>152</v>
      </c>
      <c r="C143">
        <v>2023</v>
      </c>
      <c r="D143" t="s">
        <v>322</v>
      </c>
      <c r="E143" t="s">
        <v>21</v>
      </c>
      <c r="F143" t="s">
        <v>263</v>
      </c>
      <c r="G143" t="s">
        <v>43</v>
      </c>
      <c r="H143" t="s">
        <v>321</v>
      </c>
      <c r="I143">
        <v>18</v>
      </c>
      <c r="J143" t="str">
        <f>IF(SportClimbing[[#This Row],[Height (m)]]&lt;15, "10-14", IF(SportClimbing[[#This Row],[Height (m)]]&lt;20, "15-19", IF(SportClimbing[[#This Row],[Height (m)]]&lt;25, "20-24", IF(SportClimbing[[#This Row],[Height (m)]]&lt;30, "25-29", IF(SportClimbing[[#This Row],[Height (m)]]&lt;35, "30-34", "35+")))))</f>
        <v>15-19</v>
      </c>
      <c r="K143" t="s">
        <v>120</v>
      </c>
      <c r="L143">
        <v>2</v>
      </c>
    </row>
    <row r="144" spans="1:12" x14ac:dyDescent="0.2">
      <c r="A144">
        <v>19</v>
      </c>
      <c r="B144" t="s">
        <v>152</v>
      </c>
      <c r="C144">
        <v>2023</v>
      </c>
      <c r="D144" t="s">
        <v>323</v>
      </c>
      <c r="E144" t="s">
        <v>3</v>
      </c>
      <c r="F144" t="s">
        <v>263</v>
      </c>
      <c r="G144" t="s">
        <v>43</v>
      </c>
      <c r="H144" t="s">
        <v>91</v>
      </c>
      <c r="I144">
        <v>25</v>
      </c>
      <c r="J144" t="str">
        <f>IF(SportClimbing[[#This Row],[Height (m)]]&lt;15, "10-14", IF(SportClimbing[[#This Row],[Height (m)]]&lt;20, "15-19", IF(SportClimbing[[#This Row],[Height (m)]]&lt;25, "20-24", IF(SportClimbing[[#This Row],[Height (m)]]&lt;30, "25-29", IF(SportClimbing[[#This Row],[Height (m)]]&lt;35, "30-34", "35+")))))</f>
        <v>25-29</v>
      </c>
      <c r="K144" t="s">
        <v>380</v>
      </c>
      <c r="L144">
        <v>2</v>
      </c>
    </row>
    <row r="145" spans="1:12" x14ac:dyDescent="0.2">
      <c r="A145">
        <v>22</v>
      </c>
      <c r="B145" t="s">
        <v>152</v>
      </c>
      <c r="C145">
        <v>2023</v>
      </c>
      <c r="D145" t="s">
        <v>324</v>
      </c>
      <c r="E145" t="s">
        <v>3</v>
      </c>
      <c r="F145" t="s">
        <v>263</v>
      </c>
      <c r="G145" t="s">
        <v>324</v>
      </c>
      <c r="H145" t="s">
        <v>331</v>
      </c>
      <c r="I145">
        <v>18</v>
      </c>
      <c r="J145" t="str">
        <f>IF(SportClimbing[[#This Row],[Height (m)]]&lt;15, "10-14", IF(SportClimbing[[#This Row],[Height (m)]]&lt;20, "15-19", IF(SportClimbing[[#This Row],[Height (m)]]&lt;25, "20-24", IF(SportClimbing[[#This Row],[Height (m)]]&lt;30, "25-29", IF(SportClimbing[[#This Row],[Height (m)]]&lt;35, "30-34", "35+")))))</f>
        <v>15-19</v>
      </c>
      <c r="K145" t="s">
        <v>325</v>
      </c>
      <c r="L145" t="s">
        <v>130</v>
      </c>
    </row>
    <row r="146" spans="1:12" x14ac:dyDescent="0.2">
      <c r="A146">
        <v>26</v>
      </c>
      <c r="B146" t="s">
        <v>152</v>
      </c>
      <c r="C146">
        <v>2023</v>
      </c>
      <c r="D146" t="s">
        <v>327</v>
      </c>
      <c r="E146" t="s">
        <v>3</v>
      </c>
      <c r="F146" t="s">
        <v>263</v>
      </c>
      <c r="G146" t="s">
        <v>126</v>
      </c>
      <c r="H146" t="s">
        <v>329</v>
      </c>
      <c r="I146">
        <v>30</v>
      </c>
      <c r="J146" t="str">
        <f>IF(SportClimbing[[#This Row],[Height (m)]]&lt;15, "10-14", IF(SportClimbing[[#This Row],[Height (m)]]&lt;20, "15-19", IF(SportClimbing[[#This Row],[Height (m)]]&lt;25, "20-24", IF(SportClimbing[[#This Row],[Height (m)]]&lt;30, "25-29", IF(SportClimbing[[#This Row],[Height (m)]]&lt;35, "30-34", "35+")))))</f>
        <v>30-34</v>
      </c>
      <c r="K146" t="s">
        <v>232</v>
      </c>
      <c r="L146" t="s">
        <v>130</v>
      </c>
    </row>
    <row r="147" spans="1:12" x14ac:dyDescent="0.2">
      <c r="A147">
        <v>26</v>
      </c>
      <c r="B147" t="s">
        <v>152</v>
      </c>
      <c r="C147">
        <v>2023</v>
      </c>
      <c r="D147" t="s">
        <v>328</v>
      </c>
      <c r="E147" t="s">
        <v>3</v>
      </c>
      <c r="F147" t="s">
        <v>263</v>
      </c>
      <c r="G147" t="s">
        <v>126</v>
      </c>
      <c r="H147" t="s">
        <v>329</v>
      </c>
      <c r="I147">
        <v>25</v>
      </c>
      <c r="J147" t="str">
        <f>IF(SportClimbing[[#This Row],[Height (m)]]&lt;15, "10-14", IF(SportClimbing[[#This Row],[Height (m)]]&lt;20, "15-19", IF(SportClimbing[[#This Row],[Height (m)]]&lt;25, "20-24", IF(SportClimbing[[#This Row],[Height (m)]]&lt;30, "25-29", IF(SportClimbing[[#This Row],[Height (m)]]&lt;35, "30-34", "35+")))))</f>
        <v>25-29</v>
      </c>
      <c r="K147" t="s">
        <v>120</v>
      </c>
      <c r="L147" t="s">
        <v>11</v>
      </c>
    </row>
    <row r="148" spans="1:12" x14ac:dyDescent="0.2">
      <c r="A148">
        <v>27</v>
      </c>
      <c r="B148" t="s">
        <v>152</v>
      </c>
      <c r="C148">
        <v>2023</v>
      </c>
      <c r="D148" t="s">
        <v>330</v>
      </c>
      <c r="E148" t="s">
        <v>3</v>
      </c>
      <c r="F148" t="s">
        <v>263</v>
      </c>
      <c r="G148" t="s">
        <v>126</v>
      </c>
      <c r="H148" t="s">
        <v>389</v>
      </c>
      <c r="I148">
        <v>16</v>
      </c>
      <c r="J148" t="str">
        <f>IF(SportClimbing[[#This Row],[Height (m)]]&lt;15, "10-14", IF(SportClimbing[[#This Row],[Height (m)]]&lt;20, "15-19", IF(SportClimbing[[#This Row],[Height (m)]]&lt;25, "20-24", IF(SportClimbing[[#This Row],[Height (m)]]&lt;30, "25-29", IF(SportClimbing[[#This Row],[Height (m)]]&lt;35, "30-34", "35+")))))</f>
        <v>15-19</v>
      </c>
      <c r="K148" t="s">
        <v>326</v>
      </c>
      <c r="L148" t="s">
        <v>130</v>
      </c>
    </row>
    <row r="149" spans="1:12" x14ac:dyDescent="0.2">
      <c r="A149">
        <v>24</v>
      </c>
      <c r="B149" t="s">
        <v>376</v>
      </c>
      <c r="C149">
        <v>2023</v>
      </c>
      <c r="D149" t="s">
        <v>332</v>
      </c>
      <c r="E149" t="s">
        <v>3</v>
      </c>
      <c r="F149" s="5" t="s">
        <v>299</v>
      </c>
      <c r="G149" s="5" t="s">
        <v>307</v>
      </c>
      <c r="H149" t="s">
        <v>334</v>
      </c>
      <c r="I149">
        <v>22</v>
      </c>
      <c r="J149" t="str">
        <f>IF(SportClimbing[[#This Row],[Height (m)]]&lt;15, "10-14", IF(SportClimbing[[#This Row],[Height (m)]]&lt;20, "15-19", IF(SportClimbing[[#This Row],[Height (m)]]&lt;25, "20-24", IF(SportClimbing[[#This Row],[Height (m)]]&lt;30, "25-29", IF(SportClimbing[[#This Row],[Height (m)]]&lt;35, "30-34", "35+")))))</f>
        <v>20-24</v>
      </c>
      <c r="K149" t="s">
        <v>333</v>
      </c>
      <c r="L149" t="s">
        <v>11</v>
      </c>
    </row>
    <row r="150" spans="1:12" x14ac:dyDescent="0.2">
      <c r="A150">
        <v>27</v>
      </c>
      <c r="B150" t="s">
        <v>155</v>
      </c>
      <c r="C150">
        <v>2023</v>
      </c>
      <c r="D150" t="s">
        <v>336</v>
      </c>
      <c r="E150" t="s">
        <v>3</v>
      </c>
      <c r="F150" s="5" t="s">
        <v>299</v>
      </c>
      <c r="G150" t="s">
        <v>335</v>
      </c>
      <c r="H150" t="s">
        <v>336</v>
      </c>
      <c r="I150">
        <v>15</v>
      </c>
      <c r="J150" t="str">
        <f>IF(SportClimbing[[#This Row],[Height (m)]]&lt;15, "10-14", IF(SportClimbing[[#This Row],[Height (m)]]&lt;20, "15-19", IF(SportClimbing[[#This Row],[Height (m)]]&lt;25, "20-24", IF(SportClimbing[[#This Row],[Height (m)]]&lt;30, "25-29", IF(SportClimbing[[#This Row],[Height (m)]]&lt;35, "30-34", "35+")))))</f>
        <v>15-19</v>
      </c>
      <c r="K150" t="s">
        <v>380</v>
      </c>
      <c r="L150">
        <v>2</v>
      </c>
    </row>
    <row r="151" spans="1:12" x14ac:dyDescent="0.2">
      <c r="A151">
        <v>17</v>
      </c>
      <c r="B151" t="s">
        <v>375</v>
      </c>
      <c r="C151">
        <v>2023</v>
      </c>
      <c r="D151" t="s">
        <v>342</v>
      </c>
      <c r="E151" t="s">
        <v>3</v>
      </c>
      <c r="F151" s="5" t="s">
        <v>299</v>
      </c>
      <c r="G151" t="s">
        <v>349</v>
      </c>
      <c r="H151" t="s">
        <v>343</v>
      </c>
      <c r="I151">
        <v>18</v>
      </c>
      <c r="J151" t="str">
        <f>IF(SportClimbing[[#This Row],[Height (m)]]&lt;15, "10-14", IF(SportClimbing[[#This Row],[Height (m)]]&lt;20, "15-19", IF(SportClimbing[[#This Row],[Height (m)]]&lt;25, "20-24", IF(SportClimbing[[#This Row],[Height (m)]]&lt;30, "25-29", IF(SportClimbing[[#This Row],[Height (m)]]&lt;35, "30-34", "35+")))))</f>
        <v>15-19</v>
      </c>
      <c r="K151" t="s">
        <v>380</v>
      </c>
      <c r="L151">
        <v>2</v>
      </c>
    </row>
    <row r="152" spans="1:12" x14ac:dyDescent="0.2">
      <c r="A152">
        <v>3</v>
      </c>
      <c r="B152" t="s">
        <v>374</v>
      </c>
      <c r="C152">
        <v>2023</v>
      </c>
      <c r="D152" t="s">
        <v>346</v>
      </c>
      <c r="E152" t="s">
        <v>3</v>
      </c>
      <c r="F152" s="5" t="s">
        <v>299</v>
      </c>
      <c r="G152" t="s">
        <v>390</v>
      </c>
      <c r="H152" t="s">
        <v>348</v>
      </c>
      <c r="I152">
        <v>20</v>
      </c>
      <c r="J152" t="str">
        <f>IF(SportClimbing[[#This Row],[Height (m)]]&lt;15, "10-14", IF(SportClimbing[[#This Row],[Height (m)]]&lt;20, "15-19", IF(SportClimbing[[#This Row],[Height (m)]]&lt;25, "20-24", IF(SportClimbing[[#This Row],[Height (m)]]&lt;30, "25-29", IF(SportClimbing[[#This Row],[Height (m)]]&lt;35, "30-34", "35+")))))</f>
        <v>20-24</v>
      </c>
      <c r="K152" t="s">
        <v>344</v>
      </c>
      <c r="L152">
        <v>2</v>
      </c>
    </row>
    <row r="153" spans="1:12" x14ac:dyDescent="0.2">
      <c r="A153">
        <v>3</v>
      </c>
      <c r="B153" t="s">
        <v>374</v>
      </c>
      <c r="C153">
        <v>2023</v>
      </c>
      <c r="D153" t="s">
        <v>347</v>
      </c>
      <c r="E153" t="s">
        <v>3</v>
      </c>
      <c r="F153" s="5" t="s">
        <v>299</v>
      </c>
      <c r="G153" t="s">
        <v>390</v>
      </c>
      <c r="H153" t="s">
        <v>348</v>
      </c>
      <c r="I153">
        <v>10</v>
      </c>
      <c r="J153" t="str">
        <f>IF(SportClimbing[[#This Row],[Height (m)]]&lt;15, "10-14", IF(SportClimbing[[#This Row],[Height (m)]]&lt;20, "15-19", IF(SportClimbing[[#This Row],[Height (m)]]&lt;25, "20-24", IF(SportClimbing[[#This Row],[Height (m)]]&lt;30, "25-29", IF(SportClimbing[[#This Row],[Height (m)]]&lt;35, "30-34", "35+")))))</f>
        <v>10-14</v>
      </c>
      <c r="K153" t="s">
        <v>344</v>
      </c>
      <c r="L153">
        <v>2</v>
      </c>
    </row>
    <row r="154" spans="1:12" x14ac:dyDescent="0.2">
      <c r="A154">
        <v>3</v>
      </c>
      <c r="B154" t="s">
        <v>374</v>
      </c>
      <c r="C154">
        <v>2023</v>
      </c>
      <c r="D154" s="6" t="s">
        <v>345</v>
      </c>
      <c r="E154" t="s">
        <v>3</v>
      </c>
      <c r="F154" s="5" t="s">
        <v>299</v>
      </c>
      <c r="G154" t="s">
        <v>390</v>
      </c>
      <c r="H154" t="s">
        <v>348</v>
      </c>
      <c r="I154">
        <v>20</v>
      </c>
      <c r="J154" t="str">
        <f>IF(SportClimbing[[#This Row],[Height (m)]]&lt;15, "10-14", IF(SportClimbing[[#This Row],[Height (m)]]&lt;20, "15-19", IF(SportClimbing[[#This Row],[Height (m)]]&lt;25, "20-24", IF(SportClimbing[[#This Row],[Height (m)]]&lt;30, "25-29", IF(SportClimbing[[#This Row],[Height (m)]]&lt;35, "30-34", "35+")))))</f>
        <v>20-24</v>
      </c>
      <c r="K154" t="s">
        <v>344</v>
      </c>
      <c r="L154">
        <v>2</v>
      </c>
    </row>
    <row r="155" spans="1:12" x14ac:dyDescent="0.2">
      <c r="A155">
        <v>17</v>
      </c>
      <c r="B155" t="s">
        <v>159</v>
      </c>
      <c r="C155">
        <v>2023</v>
      </c>
      <c r="D155" t="s">
        <v>350</v>
      </c>
      <c r="E155" t="s">
        <v>3</v>
      </c>
      <c r="F155" s="5" t="s">
        <v>299</v>
      </c>
      <c r="G155" t="s">
        <v>349</v>
      </c>
      <c r="H155" t="s">
        <v>343</v>
      </c>
      <c r="I155">
        <v>12</v>
      </c>
      <c r="J155" t="str">
        <f>IF(SportClimbing[[#This Row],[Height (m)]]&lt;15, "10-14", IF(SportClimbing[[#This Row],[Height (m)]]&lt;20, "15-19", IF(SportClimbing[[#This Row],[Height (m)]]&lt;25, "20-24", IF(SportClimbing[[#This Row],[Height (m)]]&lt;30, "25-29", IF(SportClimbing[[#This Row],[Height (m)]]&lt;35, "30-34", "35+")))))</f>
        <v>10-14</v>
      </c>
      <c r="K155" t="s">
        <v>333</v>
      </c>
      <c r="L155">
        <v>3</v>
      </c>
    </row>
    <row r="156" spans="1:12" x14ac:dyDescent="0.2">
      <c r="A156">
        <v>28</v>
      </c>
      <c r="B156" t="s">
        <v>162</v>
      </c>
      <c r="C156">
        <v>2023</v>
      </c>
      <c r="D156" t="s">
        <v>385</v>
      </c>
      <c r="E156" t="s">
        <v>3</v>
      </c>
      <c r="F156" s="5" t="s">
        <v>299</v>
      </c>
      <c r="G156" t="s">
        <v>312</v>
      </c>
      <c r="H156" t="s">
        <v>381</v>
      </c>
      <c r="I156">
        <v>18</v>
      </c>
      <c r="J156" t="str">
        <f>IF(SportClimbing[[#This Row],[Height (m)]]&lt;15, "10-14", IF(SportClimbing[[#This Row],[Height (m)]]&lt;20, "15-19", IF(SportClimbing[[#This Row],[Height (m)]]&lt;25, "20-24", IF(SportClimbing[[#This Row],[Height (m)]]&lt;30, "25-29", IF(SportClimbing[[#This Row],[Height (m)]]&lt;35, "30-34", "35+")))))</f>
        <v>15-19</v>
      </c>
      <c r="K156" t="s">
        <v>384</v>
      </c>
      <c r="L156">
        <v>2</v>
      </c>
    </row>
    <row r="157" spans="1:12" x14ac:dyDescent="0.2">
      <c r="A157">
        <v>4</v>
      </c>
      <c r="B157" t="s">
        <v>160</v>
      </c>
      <c r="C157">
        <v>2023</v>
      </c>
      <c r="D157" t="s">
        <v>386</v>
      </c>
      <c r="E157" t="s">
        <v>3</v>
      </c>
      <c r="F157" s="5" t="s">
        <v>299</v>
      </c>
      <c r="G157" t="s">
        <v>382</v>
      </c>
      <c r="H157" t="s">
        <v>383</v>
      </c>
      <c r="I157">
        <v>15</v>
      </c>
      <c r="J157" t="str">
        <f>IF(SportClimbing[[#This Row],[Height (m)]]&lt;15, "10-14", IF(SportClimbing[[#This Row],[Height (m)]]&lt;20, "15-19", IF(SportClimbing[[#This Row],[Height (m)]]&lt;25, "20-24", IF(SportClimbing[[#This Row],[Height (m)]]&lt;30, "25-29", IF(SportClimbing[[#This Row],[Height (m)]]&lt;35, "30-34", "35+")))))</f>
        <v>15-19</v>
      </c>
      <c r="K157" t="s">
        <v>384</v>
      </c>
      <c r="L157">
        <v>2</v>
      </c>
    </row>
    <row r="158" spans="1:12" x14ac:dyDescent="0.2">
      <c r="A158">
        <v>4</v>
      </c>
      <c r="B158" t="s">
        <v>160</v>
      </c>
      <c r="C158">
        <v>2023</v>
      </c>
      <c r="D158" t="s">
        <v>387</v>
      </c>
      <c r="E158" t="s">
        <v>3</v>
      </c>
      <c r="F158" s="5" t="s">
        <v>299</v>
      </c>
      <c r="G158" t="s">
        <v>382</v>
      </c>
      <c r="H158" t="s">
        <v>383</v>
      </c>
      <c r="I158">
        <v>10</v>
      </c>
      <c r="J158" t="str">
        <f>IF(SportClimbing[[#This Row],[Height (m)]]&lt;15, "10-14", IF(SportClimbing[[#This Row],[Height (m)]]&lt;20, "15-19", IF(SportClimbing[[#This Row],[Height (m)]]&lt;25, "20-24", IF(SportClimbing[[#This Row],[Height (m)]]&lt;30, "25-29", IF(SportClimbing[[#This Row],[Height (m)]]&lt;35, "30-34", "35+")))))</f>
        <v>10-14</v>
      </c>
      <c r="K158" t="s">
        <v>384</v>
      </c>
      <c r="L158">
        <v>3</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4E5B40-F163-49B0-B208-8FE9E6886035}">
  <sheetPr>
    <tabColor rgb="FF00B0F0"/>
  </sheetPr>
  <dimension ref="A1"/>
  <sheetViews>
    <sheetView showGridLines="0" tabSelected="1" zoomScaleNormal="100" workbookViewId="0">
      <selection activeCell="A7" sqref="A7"/>
    </sheetView>
  </sheetViews>
  <sheetFormatPr defaultRowHeight="12.75" x14ac:dyDescent="0.2"/>
  <cols>
    <col min="1" max="16384" width="9.140625" style="7"/>
  </cols>
  <sheetData/>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C2933-BCCC-41BA-ADF6-9C9561906489}">
  <dimension ref="A1:N55"/>
  <sheetViews>
    <sheetView workbookViewId="0">
      <selection activeCell="E7" sqref="E7"/>
    </sheetView>
  </sheetViews>
  <sheetFormatPr defaultRowHeight="12.75" x14ac:dyDescent="0.2"/>
  <cols>
    <col min="1" max="1" width="13.85546875" bestFit="1" customWidth="1"/>
    <col min="2" max="2" width="16.28515625" bestFit="1" customWidth="1"/>
    <col min="4" max="4" width="13.85546875" bestFit="1" customWidth="1"/>
    <col min="5" max="5" width="16.5703125" bestFit="1" customWidth="1"/>
    <col min="7" max="7" width="15.85546875" bestFit="1" customWidth="1"/>
    <col min="8" max="8" width="14.85546875" bestFit="1" customWidth="1"/>
    <col min="9" max="9" width="15.85546875" bestFit="1" customWidth="1"/>
    <col min="13" max="13" width="13.85546875" bestFit="1" customWidth="1"/>
    <col min="14" max="14" width="16.28515625" bestFit="1" customWidth="1"/>
  </cols>
  <sheetData>
    <row r="1" spans="1:14" x14ac:dyDescent="0.2">
      <c r="A1" s="1" t="s">
        <v>234</v>
      </c>
      <c r="B1" t="s">
        <v>189</v>
      </c>
      <c r="D1" s="1" t="s">
        <v>234</v>
      </c>
      <c r="E1" t="s">
        <v>352</v>
      </c>
      <c r="G1" s="1" t="s">
        <v>234</v>
      </c>
      <c r="H1" t="s">
        <v>379</v>
      </c>
    </row>
    <row r="2" spans="1:14" x14ac:dyDescent="0.2">
      <c r="A2" s="2" t="s">
        <v>3</v>
      </c>
      <c r="B2" s="9">
        <v>86</v>
      </c>
      <c r="D2" s="2">
        <v>2006</v>
      </c>
      <c r="E2" s="9">
        <v>1</v>
      </c>
      <c r="G2" s="2" t="s">
        <v>43</v>
      </c>
      <c r="H2" s="9">
        <v>44</v>
      </c>
      <c r="M2" s="1" t="s">
        <v>234</v>
      </c>
      <c r="N2" t="s">
        <v>189</v>
      </c>
    </row>
    <row r="3" spans="1:14" x14ac:dyDescent="0.2">
      <c r="A3" s="2" t="s">
        <v>21</v>
      </c>
      <c r="B3" s="9">
        <v>41</v>
      </c>
      <c r="D3" s="2">
        <v>2007</v>
      </c>
      <c r="E3" s="9">
        <v>1</v>
      </c>
      <c r="G3" s="2" t="s">
        <v>100</v>
      </c>
      <c r="H3" s="9">
        <v>16</v>
      </c>
      <c r="M3" s="2" t="s">
        <v>263</v>
      </c>
      <c r="N3" s="9">
        <v>131</v>
      </c>
    </row>
    <row r="4" spans="1:14" x14ac:dyDescent="0.2">
      <c r="A4" s="2" t="s">
        <v>29</v>
      </c>
      <c r="B4" s="9">
        <v>17</v>
      </c>
      <c r="D4" s="2">
        <v>2008</v>
      </c>
      <c r="E4" s="9">
        <v>2</v>
      </c>
      <c r="G4" s="2" t="s">
        <v>126</v>
      </c>
      <c r="H4" s="9">
        <v>13</v>
      </c>
      <c r="M4" s="2" t="s">
        <v>299</v>
      </c>
      <c r="N4" s="9">
        <v>15</v>
      </c>
    </row>
    <row r="5" spans="1:14" x14ac:dyDescent="0.2">
      <c r="A5" s="2" t="s">
        <v>32</v>
      </c>
      <c r="B5" s="9">
        <v>10</v>
      </c>
      <c r="D5" s="2">
        <v>2009</v>
      </c>
      <c r="E5" s="9">
        <v>0</v>
      </c>
      <c r="G5" s="2" t="s">
        <v>22</v>
      </c>
      <c r="H5" s="9">
        <v>12</v>
      </c>
      <c r="M5" s="2" t="s">
        <v>262</v>
      </c>
      <c r="N5" s="9">
        <v>8</v>
      </c>
    </row>
    <row r="6" spans="1:14" x14ac:dyDescent="0.2">
      <c r="A6" s="2" t="s">
        <v>69</v>
      </c>
      <c r="B6" s="9">
        <v>2</v>
      </c>
      <c r="D6" s="2">
        <v>2010</v>
      </c>
      <c r="E6" s="9">
        <v>0</v>
      </c>
      <c r="G6" s="2" t="s">
        <v>105</v>
      </c>
      <c r="H6" s="9">
        <v>7</v>
      </c>
      <c r="M6" s="2" t="s">
        <v>274</v>
      </c>
      <c r="N6" s="9">
        <v>2</v>
      </c>
    </row>
    <row r="7" spans="1:14" x14ac:dyDescent="0.2">
      <c r="A7" s="2" t="s">
        <v>163</v>
      </c>
      <c r="B7" s="9">
        <v>1</v>
      </c>
      <c r="D7" s="2">
        <v>2011</v>
      </c>
      <c r="E7" s="9">
        <v>1</v>
      </c>
      <c r="G7" s="2" t="s">
        <v>25</v>
      </c>
      <c r="H7" s="9">
        <v>7</v>
      </c>
      <c r="M7" s="2" t="s">
        <v>314</v>
      </c>
      <c r="N7" s="9">
        <v>1</v>
      </c>
    </row>
    <row r="8" spans="1:14" x14ac:dyDescent="0.2">
      <c r="A8" s="2" t="s">
        <v>233</v>
      </c>
      <c r="B8" s="9">
        <v>157</v>
      </c>
      <c r="D8" s="2">
        <v>2012</v>
      </c>
      <c r="E8" s="9">
        <v>3</v>
      </c>
      <c r="G8" s="2" t="s">
        <v>68</v>
      </c>
      <c r="H8" s="9">
        <v>6</v>
      </c>
      <c r="M8" s="2" t="s">
        <v>233</v>
      </c>
      <c r="N8" s="9">
        <v>157</v>
      </c>
    </row>
    <row r="9" spans="1:14" x14ac:dyDescent="0.2">
      <c r="D9" s="2">
        <v>2013</v>
      </c>
      <c r="E9" s="9">
        <v>16</v>
      </c>
      <c r="G9" s="2" t="s">
        <v>49</v>
      </c>
      <c r="H9" s="9">
        <v>5</v>
      </c>
    </row>
    <row r="10" spans="1:14" x14ac:dyDescent="0.2">
      <c r="D10" s="2">
        <v>2014</v>
      </c>
      <c r="E10" s="9">
        <v>0</v>
      </c>
      <c r="G10" s="2" t="s">
        <v>77</v>
      </c>
      <c r="H10" s="9">
        <v>4</v>
      </c>
    </row>
    <row r="11" spans="1:14" x14ac:dyDescent="0.2">
      <c r="A11" s="1" t="s">
        <v>234</v>
      </c>
      <c r="B11" t="s">
        <v>189</v>
      </c>
      <c r="D11" s="2">
        <v>2015</v>
      </c>
      <c r="E11" s="9">
        <v>0</v>
      </c>
      <c r="G11" s="2" t="s">
        <v>307</v>
      </c>
      <c r="H11" s="9">
        <v>3</v>
      </c>
    </row>
    <row r="12" spans="1:14" x14ac:dyDescent="0.2">
      <c r="A12" s="2" t="s">
        <v>337</v>
      </c>
      <c r="B12" s="9">
        <v>14</v>
      </c>
      <c r="D12" s="2">
        <v>2016</v>
      </c>
      <c r="E12" s="9">
        <v>2</v>
      </c>
      <c r="G12" s="8" t="s">
        <v>233</v>
      </c>
      <c r="H12" s="9">
        <v>157</v>
      </c>
      <c r="M12" s="1" t="s">
        <v>234</v>
      </c>
      <c r="N12" t="s">
        <v>189</v>
      </c>
    </row>
    <row r="13" spans="1:14" x14ac:dyDescent="0.2">
      <c r="A13" s="2" t="s">
        <v>338</v>
      </c>
      <c r="B13" s="9">
        <v>32</v>
      </c>
      <c r="D13" s="2">
        <v>2017</v>
      </c>
      <c r="E13" s="9">
        <v>31</v>
      </c>
      <c r="M13" s="2" t="s">
        <v>356</v>
      </c>
      <c r="N13" s="9">
        <v>55</v>
      </c>
    </row>
    <row r="14" spans="1:14" x14ac:dyDescent="0.2">
      <c r="A14" s="2" t="s">
        <v>339</v>
      </c>
      <c r="B14" s="9">
        <v>37</v>
      </c>
      <c r="D14" s="2">
        <v>2018</v>
      </c>
      <c r="E14" s="9">
        <v>25</v>
      </c>
      <c r="M14" s="2" t="s">
        <v>130</v>
      </c>
      <c r="N14" s="9">
        <v>47</v>
      </c>
    </row>
    <row r="15" spans="1:14" x14ac:dyDescent="0.2">
      <c r="A15" s="2" t="s">
        <v>340</v>
      </c>
      <c r="B15" s="9">
        <v>46</v>
      </c>
      <c r="D15" s="2">
        <v>2019</v>
      </c>
      <c r="E15" s="9">
        <v>7</v>
      </c>
      <c r="M15" s="2" t="s">
        <v>11</v>
      </c>
      <c r="N15" s="9">
        <v>16</v>
      </c>
    </row>
    <row r="16" spans="1:14" x14ac:dyDescent="0.2">
      <c r="A16" s="2" t="s">
        <v>341</v>
      </c>
      <c r="B16" s="9">
        <v>20</v>
      </c>
      <c r="D16" s="2">
        <v>2020</v>
      </c>
      <c r="E16" s="9">
        <v>10</v>
      </c>
      <c r="M16" s="2" t="s">
        <v>357</v>
      </c>
      <c r="N16" s="9">
        <v>14</v>
      </c>
    </row>
    <row r="17" spans="1:14" x14ac:dyDescent="0.2">
      <c r="A17" s="2" t="s">
        <v>391</v>
      </c>
      <c r="B17" s="9">
        <v>8</v>
      </c>
      <c r="D17" s="2">
        <v>2021</v>
      </c>
      <c r="E17" s="9">
        <v>17</v>
      </c>
      <c r="G17" s="1" t="s">
        <v>234</v>
      </c>
      <c r="H17" t="s">
        <v>392</v>
      </c>
      <c r="M17" s="2" t="s">
        <v>358</v>
      </c>
      <c r="N17" s="9">
        <v>8</v>
      </c>
    </row>
    <row r="18" spans="1:14" x14ac:dyDescent="0.2">
      <c r="A18" s="2" t="s">
        <v>233</v>
      </c>
      <c r="B18" s="9">
        <v>157</v>
      </c>
      <c r="D18" s="2">
        <v>2022</v>
      </c>
      <c r="E18" s="9">
        <v>19</v>
      </c>
      <c r="G18" s="2">
        <v>2006</v>
      </c>
      <c r="H18">
        <v>1</v>
      </c>
      <c r="M18" s="2" t="s">
        <v>359</v>
      </c>
      <c r="N18" s="9">
        <v>4</v>
      </c>
    </row>
    <row r="19" spans="1:14" x14ac:dyDescent="0.2">
      <c r="D19" s="2">
        <v>2023</v>
      </c>
      <c r="E19" s="9">
        <v>22</v>
      </c>
      <c r="G19" s="2">
        <v>2007</v>
      </c>
      <c r="H19">
        <v>1</v>
      </c>
      <c r="M19" s="2" t="s">
        <v>361</v>
      </c>
      <c r="N19" s="9">
        <v>3</v>
      </c>
    </row>
    <row r="20" spans="1:14" x14ac:dyDescent="0.2">
      <c r="D20" s="2" t="s">
        <v>233</v>
      </c>
      <c r="E20" s="9">
        <v>157</v>
      </c>
      <c r="G20" s="2">
        <v>2008</v>
      </c>
      <c r="H20">
        <v>2</v>
      </c>
      <c r="M20" s="2" t="s">
        <v>362</v>
      </c>
      <c r="N20" s="9">
        <v>3</v>
      </c>
    </row>
    <row r="21" spans="1:14" x14ac:dyDescent="0.2">
      <c r="G21" s="2">
        <v>2011</v>
      </c>
      <c r="H21">
        <v>1</v>
      </c>
      <c r="M21" s="2" t="s">
        <v>354</v>
      </c>
      <c r="N21" s="9">
        <v>2</v>
      </c>
    </row>
    <row r="22" spans="1:14" x14ac:dyDescent="0.2">
      <c r="G22" s="2">
        <v>2012</v>
      </c>
      <c r="H22">
        <v>5</v>
      </c>
      <c r="M22" s="2" t="s">
        <v>363</v>
      </c>
      <c r="N22" s="9">
        <v>2</v>
      </c>
    </row>
    <row r="23" spans="1:14" x14ac:dyDescent="0.2">
      <c r="G23" s="2">
        <v>2013</v>
      </c>
      <c r="H23">
        <v>35</v>
      </c>
      <c r="M23" s="2" t="s">
        <v>360</v>
      </c>
      <c r="N23" s="9">
        <v>1</v>
      </c>
    </row>
    <row r="24" spans="1:14" x14ac:dyDescent="0.2">
      <c r="D24" s="1" t="s">
        <v>234</v>
      </c>
      <c r="E24" t="s">
        <v>353</v>
      </c>
      <c r="G24" s="2">
        <v>2016</v>
      </c>
      <c r="H24">
        <v>2</v>
      </c>
      <c r="M24" s="2" t="s">
        <v>393</v>
      </c>
      <c r="N24" s="9">
        <v>1</v>
      </c>
    </row>
    <row r="25" spans="1:14" x14ac:dyDescent="0.2">
      <c r="D25" s="2" t="s">
        <v>151</v>
      </c>
      <c r="E25" s="9">
        <v>4</v>
      </c>
      <c r="G25" s="2">
        <v>2017</v>
      </c>
      <c r="H25">
        <v>53</v>
      </c>
      <c r="M25" s="2" t="s">
        <v>355</v>
      </c>
      <c r="N25" s="9">
        <v>1</v>
      </c>
    </row>
    <row r="26" spans="1:14" x14ac:dyDescent="0.2">
      <c r="D26" s="2" t="s">
        <v>152</v>
      </c>
      <c r="E26" s="9">
        <v>25</v>
      </c>
      <c r="G26" s="2">
        <v>2018</v>
      </c>
      <c r="H26">
        <v>56</v>
      </c>
      <c r="M26" s="2" t="s">
        <v>233</v>
      </c>
      <c r="N26" s="9">
        <v>157</v>
      </c>
    </row>
    <row r="27" spans="1:14" x14ac:dyDescent="0.2">
      <c r="D27" s="2" t="s">
        <v>376</v>
      </c>
      <c r="E27" s="9">
        <v>8</v>
      </c>
      <c r="G27" s="2">
        <v>2019</v>
      </c>
      <c r="H27">
        <v>13</v>
      </c>
    </row>
    <row r="28" spans="1:14" x14ac:dyDescent="0.2">
      <c r="D28" s="2" t="s">
        <v>377</v>
      </c>
      <c r="E28" s="9">
        <v>25</v>
      </c>
      <c r="G28" s="2">
        <v>2020</v>
      </c>
      <c r="H28">
        <v>21</v>
      </c>
    </row>
    <row r="29" spans="1:14" x14ac:dyDescent="0.2">
      <c r="D29" s="2" t="s">
        <v>155</v>
      </c>
      <c r="E29" s="9">
        <v>15</v>
      </c>
      <c r="G29" s="2">
        <v>2021</v>
      </c>
      <c r="H29">
        <v>32</v>
      </c>
    </row>
    <row r="30" spans="1:14" x14ac:dyDescent="0.2">
      <c r="D30" s="2" t="s">
        <v>375</v>
      </c>
      <c r="E30" s="9">
        <v>15</v>
      </c>
      <c r="G30" s="2">
        <v>2022</v>
      </c>
      <c r="H30">
        <v>30</v>
      </c>
    </row>
    <row r="31" spans="1:14" x14ac:dyDescent="0.2">
      <c r="D31" s="2" t="s">
        <v>374</v>
      </c>
      <c r="E31" s="9">
        <v>9</v>
      </c>
      <c r="G31" s="2">
        <v>2023</v>
      </c>
      <c r="H31">
        <v>23</v>
      </c>
    </row>
    <row r="32" spans="1:14" x14ac:dyDescent="0.2">
      <c r="D32" s="2" t="s">
        <v>158</v>
      </c>
      <c r="E32" s="9">
        <v>4</v>
      </c>
      <c r="G32" s="2" t="s">
        <v>233</v>
      </c>
      <c r="H32">
        <v>275</v>
      </c>
    </row>
    <row r="33" spans="1:5" x14ac:dyDescent="0.2">
      <c r="A33" s="1" t="s">
        <v>234</v>
      </c>
      <c r="B33" t="s">
        <v>189</v>
      </c>
      <c r="D33" s="2" t="s">
        <v>159</v>
      </c>
      <c r="E33" s="9">
        <v>14</v>
      </c>
    </row>
    <row r="34" spans="1:5" x14ac:dyDescent="0.2">
      <c r="A34" s="2" t="s">
        <v>132</v>
      </c>
      <c r="B34" s="9">
        <v>20</v>
      </c>
      <c r="D34" s="2" t="s">
        <v>162</v>
      </c>
      <c r="E34" s="9">
        <v>14</v>
      </c>
    </row>
    <row r="35" spans="1:5" x14ac:dyDescent="0.2">
      <c r="A35" s="2" t="s">
        <v>120</v>
      </c>
      <c r="B35" s="9">
        <v>11</v>
      </c>
      <c r="D35" s="2" t="s">
        <v>160</v>
      </c>
      <c r="E35" s="9">
        <v>15</v>
      </c>
    </row>
    <row r="36" spans="1:5" x14ac:dyDescent="0.2">
      <c r="A36" s="2" t="s">
        <v>131</v>
      </c>
      <c r="B36" s="9">
        <v>9</v>
      </c>
      <c r="D36" s="2" t="s">
        <v>161</v>
      </c>
      <c r="E36" s="9">
        <v>9</v>
      </c>
    </row>
    <row r="37" spans="1:5" x14ac:dyDescent="0.2">
      <c r="A37" s="2" t="s">
        <v>164</v>
      </c>
      <c r="B37" s="9">
        <v>9</v>
      </c>
      <c r="D37" s="2" t="s">
        <v>233</v>
      </c>
      <c r="E37" s="9">
        <v>157</v>
      </c>
    </row>
    <row r="38" spans="1:5" x14ac:dyDescent="0.2">
      <c r="A38" s="2" t="s">
        <v>380</v>
      </c>
      <c r="B38" s="9">
        <v>8</v>
      </c>
    </row>
    <row r="39" spans="1:5" x14ac:dyDescent="0.2">
      <c r="A39" s="8" t="s">
        <v>233</v>
      </c>
      <c r="B39" s="9">
        <v>157</v>
      </c>
    </row>
    <row r="44" spans="1:5" x14ac:dyDescent="0.2">
      <c r="A44" s="1" t="s">
        <v>234</v>
      </c>
      <c r="B44" t="s">
        <v>392</v>
      </c>
    </row>
    <row r="45" spans="1:5" x14ac:dyDescent="0.2">
      <c r="A45" s="2" t="s">
        <v>132</v>
      </c>
      <c r="B45">
        <v>46</v>
      </c>
    </row>
    <row r="46" spans="1:5" x14ac:dyDescent="0.2">
      <c r="A46" s="2" t="s">
        <v>131</v>
      </c>
      <c r="B46">
        <v>22</v>
      </c>
    </row>
    <row r="47" spans="1:5" x14ac:dyDescent="0.2">
      <c r="A47" s="2" t="s">
        <v>120</v>
      </c>
      <c r="B47">
        <v>18</v>
      </c>
    </row>
    <row r="48" spans="1:5" x14ac:dyDescent="0.2">
      <c r="A48" s="2" t="s">
        <v>164</v>
      </c>
      <c r="B48">
        <v>18</v>
      </c>
    </row>
    <row r="49" spans="1:2" x14ac:dyDescent="0.2">
      <c r="A49" s="2" t="s">
        <v>133</v>
      </c>
      <c r="B49">
        <v>14</v>
      </c>
    </row>
    <row r="50" spans="1:2" x14ac:dyDescent="0.2">
      <c r="A50" s="2" t="s">
        <v>146</v>
      </c>
      <c r="B50">
        <v>11</v>
      </c>
    </row>
    <row r="51" spans="1:2" x14ac:dyDescent="0.2">
      <c r="A51" s="2" t="s">
        <v>147</v>
      </c>
      <c r="B51">
        <v>9</v>
      </c>
    </row>
    <row r="52" spans="1:2" x14ac:dyDescent="0.2">
      <c r="A52" s="2" t="s">
        <v>380</v>
      </c>
      <c r="B52">
        <v>9</v>
      </c>
    </row>
    <row r="53" spans="1:2" x14ac:dyDescent="0.2">
      <c r="A53" s="2" t="s">
        <v>104</v>
      </c>
      <c r="B53">
        <v>9</v>
      </c>
    </row>
    <row r="54" spans="1:2" x14ac:dyDescent="0.2">
      <c r="A54" s="2" t="s">
        <v>148</v>
      </c>
      <c r="B54">
        <v>9</v>
      </c>
    </row>
    <row r="55" spans="1:2" x14ac:dyDescent="0.2">
      <c r="A55" s="2" t="s">
        <v>233</v>
      </c>
      <c r="B55">
        <v>165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5EDF08-8F91-4AAA-8F54-2A151311C853}">
  <dimension ref="A1:F19"/>
  <sheetViews>
    <sheetView workbookViewId="0">
      <selection activeCell="E21" sqref="E21"/>
    </sheetView>
  </sheetViews>
  <sheetFormatPr defaultRowHeight="12.75" x14ac:dyDescent="0.2"/>
  <cols>
    <col min="1" max="1" width="9.42578125" bestFit="1" customWidth="1"/>
    <col min="4" max="6" width="12.85546875" bestFit="1" customWidth="1"/>
  </cols>
  <sheetData>
    <row r="1" spans="1:6" x14ac:dyDescent="0.2">
      <c r="A1" t="s">
        <v>364</v>
      </c>
      <c r="D1" t="s">
        <v>372</v>
      </c>
      <c r="E1" t="s">
        <v>373</v>
      </c>
      <c r="F1" t="s">
        <v>378</v>
      </c>
    </row>
    <row r="2" spans="1:6" x14ac:dyDescent="0.2">
      <c r="A2">
        <v>2006</v>
      </c>
      <c r="D2" t="s">
        <v>368</v>
      </c>
      <c r="E2" t="s">
        <v>151</v>
      </c>
      <c r="F2">
        <v>1</v>
      </c>
    </row>
    <row r="3" spans="1:6" x14ac:dyDescent="0.2">
      <c r="A3">
        <v>2007</v>
      </c>
      <c r="D3" t="s">
        <v>369</v>
      </c>
      <c r="E3" t="s">
        <v>152</v>
      </c>
      <c r="F3">
        <v>2</v>
      </c>
    </row>
    <row r="4" spans="1:6" x14ac:dyDescent="0.2">
      <c r="A4">
        <v>2008</v>
      </c>
      <c r="D4" t="s">
        <v>153</v>
      </c>
      <c r="E4" t="s">
        <v>376</v>
      </c>
      <c r="F4">
        <v>3</v>
      </c>
    </row>
    <row r="5" spans="1:6" x14ac:dyDescent="0.2">
      <c r="A5">
        <v>2009</v>
      </c>
      <c r="D5" t="s">
        <v>154</v>
      </c>
      <c r="E5" t="s">
        <v>377</v>
      </c>
      <c r="F5">
        <v>4</v>
      </c>
    </row>
    <row r="6" spans="1:6" x14ac:dyDescent="0.2">
      <c r="A6">
        <v>2010</v>
      </c>
      <c r="D6" t="s">
        <v>155</v>
      </c>
      <c r="E6" t="s">
        <v>155</v>
      </c>
      <c r="F6">
        <v>5</v>
      </c>
    </row>
    <row r="7" spans="1:6" x14ac:dyDescent="0.2">
      <c r="A7">
        <v>2011</v>
      </c>
      <c r="D7" t="s">
        <v>156</v>
      </c>
      <c r="E7" t="s">
        <v>375</v>
      </c>
      <c r="F7">
        <v>6</v>
      </c>
    </row>
    <row r="8" spans="1:6" x14ac:dyDescent="0.2">
      <c r="A8">
        <v>2012</v>
      </c>
      <c r="D8" t="s">
        <v>157</v>
      </c>
      <c r="E8" t="s">
        <v>374</v>
      </c>
      <c r="F8">
        <v>7</v>
      </c>
    </row>
    <row r="9" spans="1:6" x14ac:dyDescent="0.2">
      <c r="A9">
        <v>2013</v>
      </c>
      <c r="D9" t="s">
        <v>365</v>
      </c>
      <c r="E9" t="s">
        <v>158</v>
      </c>
      <c r="F9">
        <v>8</v>
      </c>
    </row>
    <row r="10" spans="1:6" x14ac:dyDescent="0.2">
      <c r="A10">
        <v>2014</v>
      </c>
      <c r="D10" t="s">
        <v>370</v>
      </c>
      <c r="E10" t="s">
        <v>159</v>
      </c>
      <c r="F10">
        <v>9</v>
      </c>
    </row>
    <row r="11" spans="1:6" x14ac:dyDescent="0.2">
      <c r="A11">
        <v>2015</v>
      </c>
      <c r="D11" t="s">
        <v>371</v>
      </c>
      <c r="E11" t="s">
        <v>162</v>
      </c>
      <c r="F11">
        <v>10</v>
      </c>
    </row>
    <row r="12" spans="1:6" x14ac:dyDescent="0.2">
      <c r="A12">
        <v>2016</v>
      </c>
      <c r="D12" t="s">
        <v>366</v>
      </c>
      <c r="E12" t="s">
        <v>160</v>
      </c>
      <c r="F12">
        <v>11</v>
      </c>
    </row>
    <row r="13" spans="1:6" x14ac:dyDescent="0.2">
      <c r="A13">
        <v>2017</v>
      </c>
      <c r="D13" t="s">
        <v>367</v>
      </c>
      <c r="E13" t="s">
        <v>161</v>
      </c>
      <c r="F13">
        <v>12</v>
      </c>
    </row>
    <row r="14" spans="1:6" x14ac:dyDescent="0.2">
      <c r="A14">
        <v>2018</v>
      </c>
    </row>
    <row r="15" spans="1:6" x14ac:dyDescent="0.2">
      <c r="A15">
        <v>2019</v>
      </c>
    </row>
    <row r="16" spans="1:6" x14ac:dyDescent="0.2">
      <c r="A16">
        <v>2020</v>
      </c>
    </row>
    <row r="17" spans="1:1" x14ac:dyDescent="0.2">
      <c r="A17">
        <v>2021</v>
      </c>
    </row>
    <row r="18" spans="1:1" x14ac:dyDescent="0.2">
      <c r="A18">
        <v>2022</v>
      </c>
    </row>
    <row r="19" spans="1:1" x14ac:dyDescent="0.2">
      <c r="A19">
        <v>2023</v>
      </c>
    </row>
  </sheetData>
  <phoneticPr fontId="2"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Props1.xml><?xml version="1.0" encoding="utf-8"?>
<ds:datastoreItem xmlns:ds="http://schemas.openxmlformats.org/officeDocument/2006/customXml" ds:itemID="{3A41737E-1F56-4C9D-A518-8A897DD04AC5}">
  <ds:schemaRefs/>
</ds:datastoreItem>
</file>

<file path=customXml/itemProps2.xml><?xml version="1.0" encoding="utf-8"?>
<ds:datastoreItem xmlns:ds="http://schemas.openxmlformats.org/officeDocument/2006/customXml" ds:itemID="{6762C802-A2A4-49C2-8CE0-E1ADC23F5280}">
  <ds:schemaRefs/>
</ds:datastoreItem>
</file>

<file path=customXml/itemProps3.xml><?xml version="1.0" encoding="utf-8"?>
<ds:datastoreItem xmlns:ds="http://schemas.openxmlformats.org/officeDocument/2006/customXml" ds:itemID="{4E7D7996-E24C-4A79-816F-264DE0E703E2}">
  <ds:schemaRefs/>
</ds:datastoreItem>
</file>

<file path=customXml/itemProps4.xml><?xml version="1.0" encoding="utf-8"?>
<ds:datastoreItem xmlns:ds="http://schemas.openxmlformats.org/officeDocument/2006/customXml" ds:itemID="{DE5384C8-4EE0-48D0-BE86-A3A7DCB1A787}">
  <ds:schemaRefs/>
</ds:datastoreItem>
</file>

<file path=customXml/itemProps5.xml><?xml version="1.0" encoding="utf-8"?>
<ds:datastoreItem xmlns:ds="http://schemas.openxmlformats.org/officeDocument/2006/customXml" ds:itemID="{0BFDF83C-55EF-45CE-84C5-DA16D7BE9A86}">
  <ds:schemaRefs/>
</ds:datastoreItem>
</file>

<file path=customXml/itemProps6.xml><?xml version="1.0" encoding="utf-8"?>
<ds:datastoreItem xmlns:ds="http://schemas.openxmlformats.org/officeDocument/2006/customXml" ds:itemID="{35FE4DD8-5E0A-476A-957D-0C35DE4ED545}">
  <ds:schemaRefs/>
</ds:datastoreItem>
</file>

<file path=customXml/itemProps7.xml><?xml version="1.0" encoding="utf-8"?>
<ds:datastoreItem xmlns:ds="http://schemas.openxmlformats.org/officeDocument/2006/customXml" ds:itemID="{1EB1015A-CBA6-4A32-8538-550485706A69}">
  <ds:schemaRefs/>
</ds:datastoreItem>
</file>

<file path=customXml/itemProps8.xml><?xml version="1.0" encoding="utf-8"?>
<ds:datastoreItem xmlns:ds="http://schemas.openxmlformats.org/officeDocument/2006/customXml" ds:itemID="{E76664B5-6DF2-4D4B-BB24-C038EE7EAA10}">
  <ds:schemaRefs/>
</ds:datastoreItem>
</file>

<file path=customXml/itemProps9.xml><?xml version="1.0" encoding="utf-8"?>
<ds:datastoreItem xmlns:ds="http://schemas.openxmlformats.org/officeDocument/2006/customXml" ds:itemID="{17CA625B-CEBC-4F4C-AFA4-3F019A449FB9}">
  <ds:schemaRefs/>
</ds:datastoreItem>
</file>

<file path=customXml/itemProps10.xml><?xml version="1.0" encoding="utf-8"?>
<ds:datastoreItem xmlns:ds="http://schemas.openxmlformats.org/officeDocument/2006/customXml" ds:itemID="{8EA1DE6E-EEDE-465C-890A-110EE8903A8C}">
  <ds:schemaRefs/>
</ds:datastoreItem>
</file>

<file path=customXml/itemProps11.xml><?xml version="1.0" encoding="utf-8"?>
<ds:datastoreItem xmlns:ds="http://schemas.openxmlformats.org/officeDocument/2006/customXml" ds:itemID="{990375E9-2038-45ED-8F99-D69B034894B4}">
  <ds:schemaRefs/>
</ds:datastoreItem>
</file>

<file path=customXml/itemProps12.xml><?xml version="1.0" encoding="utf-8"?>
<ds:datastoreItem xmlns:ds="http://schemas.openxmlformats.org/officeDocument/2006/customXml" ds:itemID="{6CE37C99-B379-4103-B463-AF8B0AF1F657}">
  <ds:schemaRefs/>
</ds:datastoreItem>
</file>

<file path=customXml/itemProps13.xml><?xml version="1.0" encoding="utf-8"?>
<ds:datastoreItem xmlns:ds="http://schemas.openxmlformats.org/officeDocument/2006/customXml" ds:itemID="{A9793714-310E-447F-A680-45197DF87E2C}">
  <ds:schemaRefs/>
</ds:datastoreItem>
</file>

<file path=customXml/itemProps14.xml><?xml version="1.0" encoding="utf-8"?>
<ds:datastoreItem xmlns:ds="http://schemas.openxmlformats.org/officeDocument/2006/customXml" ds:itemID="{CCB5A8B8-789C-43BE-854E-1DB53E81B2A1}">
  <ds:schemaRefs>
    <ds:schemaRef ds:uri="http://schemas.microsoft.com/DataMashup"/>
  </ds:schemaRefs>
</ds:datastoreItem>
</file>

<file path=customXml/itemProps15.xml><?xml version="1.0" encoding="utf-8"?>
<ds:datastoreItem xmlns:ds="http://schemas.openxmlformats.org/officeDocument/2006/customXml" ds:itemID="{A977587E-E0EB-4098-BDE6-AE9899DB505E}">
  <ds:schemaRefs/>
</ds:datastoreItem>
</file>

<file path=customXml/itemProps16.xml><?xml version="1.0" encoding="utf-8"?>
<ds:datastoreItem xmlns:ds="http://schemas.openxmlformats.org/officeDocument/2006/customXml" ds:itemID="{84041C96-5E61-4002-864B-488A8F6D4E9A}">
  <ds:schemaRefs/>
</ds:datastoreItem>
</file>

<file path=customXml/itemProps17.xml><?xml version="1.0" encoding="utf-8"?>
<ds:datastoreItem xmlns:ds="http://schemas.openxmlformats.org/officeDocument/2006/customXml" ds:itemID="{8E0F24F3-C0E9-449F-B688-77A7DFD38F09}">
  <ds:schemaRefs/>
</ds:datastoreItem>
</file>

<file path=customXml/itemProps18.xml><?xml version="1.0" encoding="utf-8"?>
<ds:datastoreItem xmlns:ds="http://schemas.openxmlformats.org/officeDocument/2006/customXml" ds:itemID="{33D7A7BC-CCEC-47D6-9358-DAD8CD35DA07}">
  <ds:schemaRefs/>
</ds:datastoreItem>
</file>

<file path=customXml/itemProps19.xml><?xml version="1.0" encoding="utf-8"?>
<ds:datastoreItem xmlns:ds="http://schemas.openxmlformats.org/officeDocument/2006/customXml" ds:itemID="{E2948CCF-8C3D-4458-B583-D98867966D63}">
  <ds:schemaRefs/>
</ds:datastoreItem>
</file>

<file path=customXml/itemProps20.xml><?xml version="1.0" encoding="utf-8"?>
<ds:datastoreItem xmlns:ds="http://schemas.openxmlformats.org/officeDocument/2006/customXml" ds:itemID="{770F313B-F554-4FA0-B7C8-2BB721D1E244}">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vt:lpstr>
      <vt:lpstr>DASHBOARD</vt:lpstr>
      <vt:lpstr>PIVOTS</vt:lpstr>
      <vt:lpstr>DATES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Malharin, Frederic (external - Service)</dc:creator>
  <cp:lastModifiedBy>Frédéric Malharin</cp:lastModifiedBy>
  <dcterms:created xsi:type="dcterms:W3CDTF">2018-02-26T15:29:07Z</dcterms:created>
  <dcterms:modified xsi:type="dcterms:W3CDTF">2023-12-09T12:07:38Z</dcterms:modified>
</cp:coreProperties>
</file>